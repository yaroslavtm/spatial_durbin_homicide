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Ярослав\Videos\Курсовая\"/>
    </mc:Choice>
  </mc:AlternateContent>
  <xr:revisionPtr revIDLastSave="0" documentId="13_ncr:1_{E71A27A0-5670-4076-B4EE-4CCCDD9E29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Данные" sheetId="1" r:id="rId1"/>
  </sheets>
  <definedNames>
    <definedName name="_xlnm._FilterDatabase" localSheetId="0" hidden="1">Данные!$D$1:$D$529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4" i="1" l="1"/>
  <c r="N401" i="1"/>
  <c r="L498" i="1"/>
  <c r="M498" i="1" s="1"/>
  <c r="L347" i="1"/>
  <c r="M347" i="1" s="1"/>
  <c r="L3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2" i="1"/>
  <c r="K519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20" i="1"/>
  <c r="K521" i="1"/>
  <c r="K522" i="1"/>
  <c r="K523" i="1"/>
  <c r="K524" i="1"/>
  <c r="K525" i="1"/>
  <c r="K526" i="1"/>
  <c r="K527" i="1"/>
  <c r="K528" i="1"/>
  <c r="K529" i="1"/>
  <c r="K13" i="1"/>
  <c r="K14" i="1"/>
  <c r="K15" i="1"/>
  <c r="K16" i="1"/>
  <c r="K17" i="1"/>
  <c r="K18" i="1"/>
  <c r="K19" i="1"/>
  <c r="K20" i="1"/>
  <c r="K21" i="1"/>
  <c r="K22" i="1"/>
  <c r="K23" i="1"/>
  <c r="K3" i="1"/>
  <c r="K4" i="1"/>
  <c r="K5" i="1"/>
  <c r="K6" i="1"/>
  <c r="K7" i="1"/>
  <c r="K8" i="1"/>
  <c r="K9" i="1"/>
  <c r="K10" i="1"/>
  <c r="K11" i="1"/>
  <c r="K12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2" i="1"/>
  <c r="M30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A8242-3FA8-44EE-96CF-B102B82220A3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<sst xmlns="http://schemas.openxmlformats.org/spreadsheetml/2006/main" count="1084" uniqueCount="124">
  <si>
    <t>AL</t>
  </si>
  <si>
    <t>AZ</t>
  </si>
  <si>
    <t>AR</t>
  </si>
  <si>
    <t>CA</t>
  </si>
  <si>
    <t>CO</t>
  </si>
  <si>
    <t>CT</t>
  </si>
  <si>
    <t>DE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</si>
  <si>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</si>
  <si>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</si>
  <si>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</si>
  <si>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</si>
  <si>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</si>
  <si>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</si>
  <si>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</si>
  <si>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</si>
  <si>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</si>
  <si>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</si>
  <si>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</si>
  <si>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</si>
  <si>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</si>
  <si>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</si>
  <si>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</si>
  <si>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</si>
  <si>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</si>
  <si>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</si>
  <si>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</si>
  <si>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</si>
  <si>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</si>
  <si>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</si>
  <si>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</si>
  <si>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</si>
  <si>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</si>
  <si>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</si>
  <si>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</si>
  <si>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</si>
  <si>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</si>
  <si>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</si>
  <si>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</si>
  <si>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</si>
  <si>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</si>
  <si>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</si>
  <si>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</si>
  <si>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</si>
  <si>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</si>
  <si>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</si>
  <si>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</si>
  <si>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</si>
  <si>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</si>
  <si>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</si>
  <si>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</si>
  <si>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</si>
  <si>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</si>
  <si>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</si>
  <si>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</si>
  <si>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</si>
  <si>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</si>
  <si>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</si>
  <si>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</si>
  <si>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</si>
  <si>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</si>
  <si>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</si>
  <si>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</si>
  <si>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</si>
  <si>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</si>
  <si>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</si>
  <si>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</si>
  <si>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</si>
  <si>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</si>
  <si>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</si>
  <si>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</si>
  <si>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</si>
  <si>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</si>
  <si>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</si>
  <si>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</si>
  <si>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</si>
  <si>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</si>
  <si>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</si>
  <si>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</si>
  <si>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</si>
  <si>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</si>
  <si>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</si>
  <si>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</si>
  <si>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</si>
  <si>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</si>
  <si>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</si>
  <si>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</si>
  <si>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</si>
  <si>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</si>
  <si>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</si>
  <si>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</si>
  <si>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</si>
  <si>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</si>
  <si>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</si>
  <si>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</si>
  <si>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</si>
  <si>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</si>
  <si>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homicide(абсолютное число умышленных убийств)</t>
  </si>
  <si>
    <t>state_name(название штата)</t>
  </si>
  <si>
    <t>state_abbr(код штата)</t>
  </si>
  <si>
    <t>state_fips(FIPS код штата)</t>
  </si>
  <si>
    <t>year(Год)</t>
  </si>
  <si>
    <t>Per capita personal income (dollars)(доход на душу населения в долларах США)</t>
  </si>
  <si>
    <t>homicide_rate_per100k(число умышленных убийств на 100 тысяч человек населения за год)</t>
  </si>
  <si>
    <t>ethanol_all_drinks_gallons_per_capita(потребление этанола в галлонах на душу в возрасте 14+ лет населения за год</t>
  </si>
  <si>
    <t>population_bea(численность населения на середину года, 1 июля)</t>
  </si>
  <si>
    <t>Безработица(в %, доля безработных в общей численности рабочей силы)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</si>
  <si>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</si>
  <si>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</si>
  <si>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</si>
  <si>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</si>
  <si>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</si>
  <si>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</si>
  <si>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</si>
  <si>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</si>
  <si>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</si>
  <si>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</si>
  <si>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</si>
  <si>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2024</t>
  </si>
  <si>
    <t>Per capita personal income (dollars)(доход на душу населения в долларах США), в ценах 2024</t>
  </si>
  <si>
    <t>Смерти_от_передозировки_опиоидов</t>
  </si>
  <si>
    <t>Доля суицидов с огнестрельным оружием в общем числе суицидов</t>
  </si>
  <si>
    <t>Индекс Джини</t>
  </si>
  <si>
    <t>Число Заключенных на 100 000 чел.</t>
  </si>
  <si>
    <t>Уровень смертности от передозировки опиоидами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</si>
</sst>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 wrapText="1"/>
    </xf>
    <xf numFmtId="49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0"/>
  <sheetViews>
    <sheetView tabSelected="1" topLeftCell="M1" zoomScale="63" zoomScaleNormal="50" workbookViewId="0">
      <pane ySplit="1" topLeftCell="A2" activePane="bottomLeft" state="frozen"/>
      <selection pane="bottomLeft" activeCell="T16" sqref="T16:AG31"/>
    </sheetView>
  </sheetViews>
  <sheetFormatPr defaultRowHeight="14.5" x14ac:dyDescent="0.35"/>
  <cols>
    <col min="1" max="4" width="18.453125" style="5" customWidth="1"/>
    <col min="5" max="8" width="40" style="5" customWidth="1"/>
    <col min="9" max="9" width="40" style="7" customWidth="1"/>
    <col min="10" max="10" width="40" style="5" customWidth="1"/>
    <col min="11" max="11" width="36.81640625" customWidth="1"/>
    <col min="12" max="12" width="35.453125" style="10" customWidth="1"/>
    <col min="13" max="13" width="46.36328125" customWidth="1"/>
    <col min="14" max="14" width="64.54296875" customWidth="1"/>
    <col min="15" max="15" width="15.36328125" customWidth="1"/>
    <col min="16" max="16" width="39.90625" customWidth="1"/>
  </cols>
  <sheetData>
    <row r="1" spans="1:28" ht="45" customHeight="1" x14ac:dyDescent="0.35">
      <c r="A1" s="1" t="s">
        <v>100</v>
      </c>
      <c r="B1" s="1" t="s">
        <v>99</v>
      </c>
      <c r="C1" s="2" t="s">
        <v>98</v>
      </c>
      <c r="D1" s="2" t="s">
        <v>97</v>
      </c>
      <c r="E1" s="2" t="s">
        <v>96</v>
      </c>
      <c r="F1" s="2" t="s">
        <v>104</v>
      </c>
      <c r="G1" s="2" t="s">
        <v>101</v>
      </c>
      <c r="H1" s="2" t="s">
        <v>102</v>
      </c>
      <c r="I1" s="3" t="s">
        <v>103</v>
      </c>
      <c r="J1" s="4" t="s">
        <v>105</v>
      </c>
      <c r="K1" s="2" t="s">
        <v>118</v>
      </c>
      <c r="L1" s="11" t="s">
        <v>119</v>
      </c>
      <c r="M1" s="12" t="s">
        <v>123</v>
      </c>
      <c r="N1" s="12" t="s">
        <v>120</v>
      </c>
      <c r="O1" s="12" t="s">
        <v>121</v>
      </c>
      <c r="P1" s="12" t="s">
        <v>122</v>
      </c>
    </row>
    <row r="2" spans="1:28" x14ac:dyDescent="0.35">
      <c r="A2" s="5">
        <v>2008</v>
      </c>
      <c r="B2" s="5">
        <v>1</v>
      </c>
      <c r="C2" s="5" t="s">
        <v>0</v>
      </c>
      <c r="D2" s="5" t="s">
        <v>48</v>
      </c>
      <c r="E2" s="5">
        <v>351</v>
      </c>
      <c r="F2" s="5">
        <v>4718206</v>
      </c>
      <c r="G2" s="5">
        <v>33441</v>
      </c>
      <c r="H2" s="5">
        <f>E2/F2*100000</f>
        <v>7.4392682303400912</v>
      </c>
      <c r="I2" s="6">
        <v>2.0099999999999998</v>
      </c>
      <c r="J2" s="5">
        <v>5.8</v>
      </c>
      <c r="K2">
        <f>G2*$V$2/R2</f>
        <v>48722.376599490031</v>
      </c>
      <c r="L2" s="10">
        <v>185</v>
      </c>
      <c r="M2" s="8">
        <f>L2/F2*100000</f>
        <v>3.9209818308060309</v>
      </c>
      <c r="N2">
        <v>0.70198675496688745</v>
      </c>
      <c r="O2">
        <v>0.46700000000000003</v>
      </c>
      <c r="P2" s="14">
        <v>634.83000000000004</v>
      </c>
      <c r="Q2" t="s">
        <v>106</v>
      </c>
      <c r="R2">
        <v>215.303</v>
      </c>
      <c r="U2" t="s">
        <v>117</v>
      </c>
      <c r="V2">
        <v>313.68900000000002</v>
      </c>
    </row>
    <row r="3" spans="1:28" x14ac:dyDescent="0.35">
      <c r="A3" s="5">
        <v>2009</v>
      </c>
      <c r="B3" s="5">
        <v>1</v>
      </c>
      <c r="C3" s="5" t="s">
        <v>0</v>
      </c>
      <c r="D3" s="5" t="s">
        <v>48</v>
      </c>
      <c r="E3" s="5">
        <v>322</v>
      </c>
      <c r="F3" s="5">
        <v>4757938</v>
      </c>
      <c r="G3" s="5">
        <v>32717</v>
      </c>
      <c r="H3" s="5">
        <f t="shared" ref="H3:H55" si="0">E3/F3*100000</f>
        <v>6.7676375774547717</v>
      </c>
      <c r="I3" s="6">
        <v>1.98</v>
      </c>
      <c r="J3" s="5">
        <v>10.100000000000001</v>
      </c>
      <c r="K3">
        <f t="shared" ref="K3:K12" si="1">G3*$V$2/R3</f>
        <v>47837.729682991747</v>
      </c>
      <c r="L3" s="10">
        <v>206</v>
      </c>
      <c r="M3" s="8">
        <f t="shared" ref="M3:M66" si="2">L3/F3*100000</f>
        <v>4.3296066489306924</v>
      </c>
      <c r="N3">
        <v>0.71173848439821696</v>
      </c>
      <c r="O3">
        <v>0.47099999999999997</v>
      </c>
      <c r="P3" s="14">
        <v>652.47</v>
      </c>
      <c r="Q3" t="s">
        <v>107</v>
      </c>
      <c r="R3">
        <v>214.53700000000001</v>
      </c>
    </row>
    <row r="4" spans="1:28" x14ac:dyDescent="0.35">
      <c r="A4" s="5">
        <v>2010</v>
      </c>
      <c r="B4" s="5">
        <v>1</v>
      </c>
      <c r="C4" s="5" t="s">
        <v>0</v>
      </c>
      <c r="D4" s="5" t="s">
        <v>48</v>
      </c>
      <c r="E4" s="5">
        <v>275</v>
      </c>
      <c r="F4" s="5">
        <v>4788095</v>
      </c>
      <c r="G4" s="5">
        <v>33848</v>
      </c>
      <c r="H4" s="5">
        <f t="shared" si="0"/>
        <v>5.7434115237897325</v>
      </c>
      <c r="I4" s="6">
        <v>1.98</v>
      </c>
      <c r="J4" s="5">
        <v>10.4</v>
      </c>
      <c r="K4">
        <f t="shared" si="1"/>
        <v>48692.745313130567</v>
      </c>
      <c r="L4" s="10">
        <v>187</v>
      </c>
      <c r="M4" s="8">
        <f t="shared" si="2"/>
        <v>3.9055198361770183</v>
      </c>
      <c r="N4">
        <v>0.66863033873343147</v>
      </c>
      <c r="O4">
        <v>0.47199999999999998</v>
      </c>
      <c r="P4" s="14">
        <v>642.35</v>
      </c>
      <c r="Q4" t="s">
        <v>108</v>
      </c>
      <c r="R4">
        <v>218.05600000000001</v>
      </c>
    </row>
    <row r="5" spans="1:28" x14ac:dyDescent="0.35">
      <c r="A5" s="5">
        <v>2011</v>
      </c>
      <c r="B5" s="5">
        <v>1</v>
      </c>
      <c r="C5" s="5" t="s">
        <v>0</v>
      </c>
      <c r="D5" s="5" t="s">
        <v>48</v>
      </c>
      <c r="E5" s="5">
        <v>299</v>
      </c>
      <c r="F5" s="5">
        <v>4812576</v>
      </c>
      <c r="G5" s="5">
        <v>34884</v>
      </c>
      <c r="H5" s="5">
        <f t="shared" si="0"/>
        <v>6.2128888977545493</v>
      </c>
      <c r="I5" s="6">
        <v>1.98</v>
      </c>
      <c r="J5" s="5">
        <v>9.6000000000000014</v>
      </c>
      <c r="K5">
        <f t="shared" si="1"/>
        <v>48647.531446303226</v>
      </c>
      <c r="L5" s="10">
        <v>176</v>
      </c>
      <c r="M5" s="8">
        <f t="shared" si="2"/>
        <v>3.6570851036949859</v>
      </c>
      <c r="N5">
        <v>0.69113149847094801</v>
      </c>
      <c r="O5">
        <v>0.47349999999999998</v>
      </c>
      <c r="P5" s="14">
        <v>649.59304619067495</v>
      </c>
      <c r="Q5" t="s">
        <v>109</v>
      </c>
      <c r="R5">
        <v>224.93899999999999</v>
      </c>
    </row>
    <row r="6" spans="1:28" x14ac:dyDescent="0.35">
      <c r="A6" s="5">
        <v>2012</v>
      </c>
      <c r="B6" s="5">
        <v>1</v>
      </c>
      <c r="C6" s="5" t="s">
        <v>0</v>
      </c>
      <c r="D6" s="5" t="s">
        <v>48</v>
      </c>
      <c r="E6" s="5">
        <v>342</v>
      </c>
      <c r="F6" s="5">
        <v>4839947</v>
      </c>
      <c r="G6" s="5">
        <v>35559</v>
      </c>
      <c r="H6" s="5">
        <f t="shared" si="0"/>
        <v>7.0661930802134814</v>
      </c>
      <c r="I6" s="7">
        <v>2</v>
      </c>
      <c r="J6" s="5">
        <v>8.2000000000000011</v>
      </c>
      <c r="K6">
        <f t="shared" si="1"/>
        <v>48583.443604798042</v>
      </c>
      <c r="L6" s="10">
        <v>165</v>
      </c>
      <c r="M6" s="8">
        <f t="shared" si="2"/>
        <v>3.4091282404538727</v>
      </c>
      <c r="N6">
        <v>0.69060773480662985</v>
      </c>
      <c r="O6">
        <v>0.47260000000000002</v>
      </c>
      <c r="P6" s="14">
        <v>650.49462173356005</v>
      </c>
      <c r="Q6" t="s">
        <v>110</v>
      </c>
      <c r="R6">
        <v>229.59399999999999</v>
      </c>
    </row>
    <row r="7" spans="1:28" x14ac:dyDescent="0.35">
      <c r="A7" s="5">
        <v>2013</v>
      </c>
      <c r="B7" s="5">
        <v>1</v>
      </c>
      <c r="C7" s="5" t="s">
        <v>0</v>
      </c>
      <c r="D7" s="5" t="s">
        <v>48</v>
      </c>
      <c r="E7" s="5">
        <v>346</v>
      </c>
      <c r="F7" s="5">
        <v>4865253</v>
      </c>
      <c r="G7" s="5">
        <v>35706</v>
      </c>
      <c r="H7" s="5">
        <f t="shared" si="0"/>
        <v>7.111654830694313</v>
      </c>
      <c r="I7" s="6">
        <v>1.99</v>
      </c>
      <c r="J7" s="5">
        <v>7.3000000000000007</v>
      </c>
      <c r="K7">
        <f t="shared" si="1"/>
        <v>48080.029507591535</v>
      </c>
      <c r="L7" s="10">
        <v>166</v>
      </c>
      <c r="M7" s="8">
        <f t="shared" si="2"/>
        <v>3.4119500054776188</v>
      </c>
      <c r="N7">
        <v>0.69902912621359226</v>
      </c>
      <c r="O7">
        <v>0.47520000000000001</v>
      </c>
      <c r="P7" s="14">
        <v>647.41090356914299</v>
      </c>
      <c r="Q7" t="s">
        <v>111</v>
      </c>
      <c r="R7">
        <v>232.95699999999999</v>
      </c>
    </row>
    <row r="8" spans="1:28" x14ac:dyDescent="0.35">
      <c r="A8" s="5">
        <v>2014</v>
      </c>
      <c r="B8" s="5">
        <v>1</v>
      </c>
      <c r="C8" s="5" t="s">
        <v>0</v>
      </c>
      <c r="D8" s="5" t="s">
        <v>48</v>
      </c>
      <c r="E8" s="5">
        <v>276</v>
      </c>
      <c r="F8" s="5">
        <v>4887757</v>
      </c>
      <c r="G8" s="5">
        <v>36722</v>
      </c>
      <c r="H8" s="5">
        <f t="shared" si="0"/>
        <v>5.6467618991697011</v>
      </c>
      <c r="I8" s="7">
        <v>2</v>
      </c>
      <c r="J8" s="5">
        <v>6.7</v>
      </c>
      <c r="K8">
        <f t="shared" si="1"/>
        <v>48658.790627534472</v>
      </c>
      <c r="L8" s="10">
        <v>270</v>
      </c>
      <c r="M8" s="8">
        <f t="shared" si="2"/>
        <v>5.5240062057094903</v>
      </c>
      <c r="N8">
        <v>0.66993006993006998</v>
      </c>
      <c r="O8">
        <v>0.4758</v>
      </c>
      <c r="P8" s="14">
        <v>633.73872892189399</v>
      </c>
      <c r="Q8" t="s">
        <v>112</v>
      </c>
      <c r="R8">
        <v>236.73599999999999</v>
      </c>
    </row>
    <row r="9" spans="1:28" x14ac:dyDescent="0.35">
      <c r="A9" s="5">
        <v>2015</v>
      </c>
      <c r="B9" s="5">
        <v>1</v>
      </c>
      <c r="C9" s="5" t="s">
        <v>0</v>
      </c>
      <c r="D9" s="5" t="s">
        <v>48</v>
      </c>
      <c r="E9" s="5">
        <v>348</v>
      </c>
      <c r="F9" s="5">
        <v>4909177</v>
      </c>
      <c r="G9" s="5">
        <v>38189</v>
      </c>
      <c r="H9" s="5">
        <f t="shared" si="0"/>
        <v>7.0887645729620257</v>
      </c>
      <c r="I9" s="6">
        <v>2.0099999999999998</v>
      </c>
      <c r="J9" s="5">
        <v>6.1000000000000005</v>
      </c>
      <c r="K9">
        <f t="shared" si="1"/>
        <v>50542.658210170586</v>
      </c>
      <c r="L9" s="10">
        <v>282</v>
      </c>
      <c r="M9" s="8">
        <f t="shared" si="2"/>
        <v>5.7443437056761244</v>
      </c>
      <c r="N9">
        <v>0.70399999999999996</v>
      </c>
      <c r="O9">
        <v>0.48110000000000003</v>
      </c>
      <c r="P9" s="14">
        <v>612.46635108385499</v>
      </c>
      <c r="Q9" t="s">
        <v>113</v>
      </c>
      <c r="R9">
        <v>237.017</v>
      </c>
    </row>
    <row r="10" spans="1:28" x14ac:dyDescent="0.35">
      <c r="A10" s="5">
        <v>2016</v>
      </c>
      <c r="B10" s="5">
        <v>1</v>
      </c>
      <c r="C10" s="5" t="s">
        <v>0</v>
      </c>
      <c r="D10" s="5" t="s">
        <v>48</v>
      </c>
      <c r="E10" s="5">
        <v>407</v>
      </c>
      <c r="F10" s="5">
        <v>4931579</v>
      </c>
      <c r="G10" s="5">
        <v>38704</v>
      </c>
      <c r="H10" s="5">
        <f t="shared" si="0"/>
        <v>8.2529348105343132</v>
      </c>
      <c r="I10" s="6">
        <v>2.0099999999999998</v>
      </c>
      <c r="J10" s="5">
        <v>5.9</v>
      </c>
      <c r="K10">
        <f t="shared" si="1"/>
        <v>50586.103971967488</v>
      </c>
      <c r="L10" s="10">
        <v>343</v>
      </c>
      <c r="M10" s="8">
        <f t="shared" si="2"/>
        <v>6.955176019688623</v>
      </c>
      <c r="N10">
        <v>0.69796954314720816</v>
      </c>
      <c r="O10">
        <v>0.48470000000000002</v>
      </c>
      <c r="P10" s="14">
        <v>570.91795408504402</v>
      </c>
      <c r="Q10" t="s">
        <v>114</v>
      </c>
      <c r="R10">
        <v>240.00700000000001</v>
      </c>
    </row>
    <row r="11" spans="1:28" x14ac:dyDescent="0.35">
      <c r="A11" s="5">
        <v>2017</v>
      </c>
      <c r="B11" s="5">
        <v>1</v>
      </c>
      <c r="C11" s="5" t="s">
        <v>0</v>
      </c>
      <c r="D11" s="5" t="s">
        <v>48</v>
      </c>
      <c r="E11" s="5">
        <v>419</v>
      </c>
      <c r="F11" s="5">
        <v>4953096</v>
      </c>
      <c r="G11" s="5">
        <v>39968</v>
      </c>
      <c r="H11" s="5">
        <f t="shared" si="0"/>
        <v>8.4593555222834365</v>
      </c>
      <c r="I11" s="6">
        <v>1.99</v>
      </c>
      <c r="J11" s="5">
        <v>4.5</v>
      </c>
      <c r="K11">
        <f t="shared" si="1"/>
        <v>51148.506657963451</v>
      </c>
      <c r="L11" s="10">
        <v>422</v>
      </c>
      <c r="M11" s="8">
        <f t="shared" si="2"/>
        <v>8.5199237002472792</v>
      </c>
      <c r="N11">
        <v>0.68540669856459335</v>
      </c>
      <c r="O11">
        <v>0.4768</v>
      </c>
      <c r="P11" s="14">
        <v>485.90349396235598</v>
      </c>
      <c r="Q11" t="s">
        <v>115</v>
      </c>
      <c r="R11">
        <v>245.12</v>
      </c>
    </row>
    <row r="12" spans="1:28" x14ac:dyDescent="0.35">
      <c r="A12" s="5">
        <v>2018</v>
      </c>
      <c r="B12" s="5">
        <v>1</v>
      </c>
      <c r="C12" s="5" t="s">
        <v>0</v>
      </c>
      <c r="D12" s="5" t="s">
        <v>48</v>
      </c>
      <c r="E12" s="5">
        <v>383</v>
      </c>
      <c r="F12" s="5">
        <v>4977088</v>
      </c>
      <c r="G12" s="5">
        <v>41324</v>
      </c>
      <c r="H12" s="5">
        <f t="shared" si="0"/>
        <v>7.6952627721269948</v>
      </c>
      <c r="I12" s="6">
        <v>1.99</v>
      </c>
      <c r="J12" s="5">
        <v>3.9000000000000004</v>
      </c>
      <c r="K12">
        <f t="shared" si="1"/>
        <v>51622.950519101425</v>
      </c>
      <c r="L12" s="10">
        <v>381</v>
      </c>
      <c r="M12" s="8">
        <f t="shared" si="2"/>
        <v>7.6550786323247646</v>
      </c>
      <c r="N12">
        <v>0.67071688942891861</v>
      </c>
      <c r="O12">
        <v>0.4859</v>
      </c>
      <c r="P12" s="14">
        <v>418.10072034712499</v>
      </c>
      <c r="Q12" t="s">
        <v>116</v>
      </c>
      <c r="R12">
        <v>251.107</v>
      </c>
    </row>
    <row r="13" spans="1:28" x14ac:dyDescent="0.35">
      <c r="A13" s="5">
        <v>2008</v>
      </c>
      <c r="B13" s="5">
        <v>4</v>
      </c>
      <c r="C13" s="5" t="s">
        <v>1</v>
      </c>
      <c r="D13" s="5" t="s">
        <v>49</v>
      </c>
      <c r="E13" s="5">
        <v>462</v>
      </c>
      <c r="F13" s="5">
        <v>6280362</v>
      </c>
      <c r="G13" s="5">
        <v>35586</v>
      </c>
      <c r="H13" s="5">
        <f t="shared" si="0"/>
        <v>7.3562638586756623</v>
      </c>
      <c r="I13" s="6">
        <v>2.48</v>
      </c>
      <c r="J13" s="5">
        <v>5.8000000000000007</v>
      </c>
      <c r="K13">
        <f>G13*$V$2/$R$2</f>
        <v>51847.567168130496</v>
      </c>
      <c r="L13" s="10">
        <v>494</v>
      </c>
      <c r="M13" s="8">
        <f t="shared" si="2"/>
        <v>7.8657886281077438</v>
      </c>
      <c r="N13">
        <v>0.55555555555555558</v>
      </c>
      <c r="O13">
        <v>0.45300000000000001</v>
      </c>
      <c r="P13" s="14">
        <v>572.17999999999995</v>
      </c>
    </row>
    <row r="14" spans="1:28" x14ac:dyDescent="0.35">
      <c r="A14" s="5">
        <v>2009</v>
      </c>
      <c r="B14" s="5">
        <v>4</v>
      </c>
      <c r="C14" s="5" t="s">
        <v>1</v>
      </c>
      <c r="D14" s="5" t="s">
        <v>49</v>
      </c>
      <c r="E14" s="5">
        <v>380</v>
      </c>
      <c r="F14" s="5">
        <v>6343154</v>
      </c>
      <c r="G14" s="5">
        <v>33467</v>
      </c>
      <c r="H14" s="5">
        <f t="shared" si="0"/>
        <v>5.9907106149401379</v>
      </c>
      <c r="I14" s="6">
        <v>2.38</v>
      </c>
      <c r="J14" s="5">
        <v>9.7000000000000011</v>
      </c>
      <c r="K14">
        <f>G14*$V$2/$R$3</f>
        <v>48934.355206794164</v>
      </c>
      <c r="L14" s="10">
        <v>605</v>
      </c>
      <c r="M14" s="8">
        <f t="shared" si="2"/>
        <v>9.5378419001020625</v>
      </c>
      <c r="N14">
        <v>0.57075471698113212</v>
      </c>
      <c r="O14">
        <v>0.45100000000000001</v>
      </c>
      <c r="P14" s="14">
        <v>584.15</v>
      </c>
    </row>
    <row r="15" spans="1:28" x14ac:dyDescent="0.35">
      <c r="A15" s="5">
        <v>2010</v>
      </c>
      <c r="B15" s="5">
        <v>4</v>
      </c>
      <c r="C15" s="5" t="s">
        <v>1</v>
      </c>
      <c r="D15" s="5" t="s">
        <v>49</v>
      </c>
      <c r="E15" s="5">
        <v>408</v>
      </c>
      <c r="F15" s="5">
        <v>6401304</v>
      </c>
      <c r="G15" s="5">
        <v>33778</v>
      </c>
      <c r="H15" s="5">
        <f t="shared" si="0"/>
        <v>6.373701358348236</v>
      </c>
      <c r="I15" s="6">
        <v>2.3899999999999899</v>
      </c>
      <c r="J15" s="5">
        <v>10.3</v>
      </c>
      <c r="K15">
        <f>G15*$V$2/$R$4</f>
        <v>48592.04535532157</v>
      </c>
      <c r="L15" s="10">
        <v>626</v>
      </c>
      <c r="M15" s="8">
        <f t="shared" si="2"/>
        <v>9.7792574762892066</v>
      </c>
      <c r="N15">
        <v>0.5672461116193962</v>
      </c>
      <c r="O15">
        <v>0.45500000000000002</v>
      </c>
      <c r="P15" s="14">
        <v>599.13</v>
      </c>
      <c r="AB15" s="8"/>
    </row>
    <row r="16" spans="1:28" x14ac:dyDescent="0.35">
      <c r="A16" s="5">
        <v>2011</v>
      </c>
      <c r="B16" s="5">
        <v>4</v>
      </c>
      <c r="C16" s="5" t="s">
        <v>1</v>
      </c>
      <c r="D16" s="5" t="s">
        <v>49</v>
      </c>
      <c r="E16" s="5">
        <v>397</v>
      </c>
      <c r="F16" s="5">
        <v>6443158</v>
      </c>
      <c r="G16" s="5">
        <v>35263</v>
      </c>
      <c r="H16" s="5">
        <f t="shared" si="0"/>
        <v>6.1615748053982227</v>
      </c>
      <c r="I16" s="6">
        <v>2.3899999999999899</v>
      </c>
      <c r="J16" s="5">
        <v>9.4</v>
      </c>
      <c r="K16">
        <f>G16*$V$2/$R$5</f>
        <v>49176.066431343614</v>
      </c>
      <c r="L16" s="10">
        <v>562</v>
      </c>
      <c r="M16" s="8">
        <f t="shared" si="2"/>
        <v>8.7224308328307334</v>
      </c>
      <c r="N16">
        <v>0.58103448275862069</v>
      </c>
      <c r="O16">
        <v>0.46</v>
      </c>
      <c r="P16" s="14">
        <v>589.22714038256004</v>
      </c>
      <c r="R16" s="9"/>
    </row>
    <row r="17" spans="1:16" x14ac:dyDescent="0.35">
      <c r="A17" s="5">
        <v>2012</v>
      </c>
      <c r="B17" s="5">
        <v>4</v>
      </c>
      <c r="C17" s="5" t="s">
        <v>1</v>
      </c>
      <c r="D17" s="5" t="s">
        <v>49</v>
      </c>
      <c r="E17" s="5">
        <v>358</v>
      </c>
      <c r="F17" s="5">
        <v>6501800</v>
      </c>
      <c r="G17" s="5">
        <v>36364</v>
      </c>
      <c r="H17" s="5">
        <f t="shared" si="0"/>
        <v>5.5061675228398288</v>
      </c>
      <c r="I17" s="6">
        <v>2.4299999999999899</v>
      </c>
      <c r="J17" s="5">
        <v>8.3000000000000007</v>
      </c>
      <c r="K17">
        <f>G17*$V$2/$R$6</f>
        <v>49683.296584405514</v>
      </c>
      <c r="L17" s="10">
        <v>526</v>
      </c>
      <c r="M17" s="8">
        <f t="shared" si="2"/>
        <v>8.0900673659601949</v>
      </c>
      <c r="N17">
        <v>0.57352941176470584</v>
      </c>
      <c r="O17">
        <v>0.46079999999999999</v>
      </c>
      <c r="P17" s="14">
        <v>582.797208061123</v>
      </c>
    </row>
    <row r="18" spans="1:16" x14ac:dyDescent="0.35">
      <c r="A18" s="5">
        <v>2013</v>
      </c>
      <c r="B18" s="5">
        <v>4</v>
      </c>
      <c r="C18" s="5" t="s">
        <v>1</v>
      </c>
      <c r="D18" s="5" t="s">
        <v>49</v>
      </c>
      <c r="E18" s="5">
        <v>355</v>
      </c>
      <c r="F18" s="5">
        <v>6555926</v>
      </c>
      <c r="G18" s="5">
        <v>36918</v>
      </c>
      <c r="H18" s="5">
        <f t="shared" si="0"/>
        <v>5.4149482468227976</v>
      </c>
      <c r="I18" s="6">
        <v>2.3499999999999899</v>
      </c>
      <c r="J18" s="5">
        <v>7.8000000000000007</v>
      </c>
      <c r="K18">
        <f>G18*$V$2/$R$7</f>
        <v>49712.052018183618</v>
      </c>
      <c r="L18" s="10">
        <v>527</v>
      </c>
      <c r="M18" s="8">
        <f t="shared" si="2"/>
        <v>8.0385288058468021</v>
      </c>
      <c r="N18">
        <v>0.56319862424763545</v>
      </c>
      <c r="O18">
        <v>0.46810000000000002</v>
      </c>
      <c r="P18" s="14">
        <v>584.309039079238</v>
      </c>
    </row>
    <row r="19" spans="1:16" x14ac:dyDescent="0.35">
      <c r="A19" s="5">
        <v>2014</v>
      </c>
      <c r="B19" s="5">
        <v>4</v>
      </c>
      <c r="C19" s="5" t="s">
        <v>1</v>
      </c>
      <c r="D19" s="5" t="s">
        <v>49</v>
      </c>
      <c r="E19" s="5">
        <v>311</v>
      </c>
      <c r="F19" s="5">
        <v>6629890</v>
      </c>
      <c r="G19" s="5">
        <v>38268</v>
      </c>
      <c r="H19" s="5">
        <f t="shared" si="0"/>
        <v>4.6908772242073402</v>
      </c>
      <c r="I19" s="6">
        <v>2.3699999999999899</v>
      </c>
      <c r="J19" s="5">
        <v>6.8000000000000007</v>
      </c>
      <c r="K19">
        <f>G19*$V$2/$R$8</f>
        <v>50707.330748175191</v>
      </c>
      <c r="L19" s="10">
        <v>589</v>
      </c>
      <c r="M19" s="8">
        <f t="shared" si="2"/>
        <v>8.8840086336274044</v>
      </c>
      <c r="N19">
        <v>0.54903536977491962</v>
      </c>
      <c r="O19">
        <v>0.46760000000000002</v>
      </c>
      <c r="P19" s="14">
        <v>592.42929188663095</v>
      </c>
    </row>
    <row r="20" spans="1:16" x14ac:dyDescent="0.35">
      <c r="A20" s="5">
        <v>2015</v>
      </c>
      <c r="B20" s="5">
        <v>4</v>
      </c>
      <c r="C20" s="5" t="s">
        <v>1</v>
      </c>
      <c r="D20" s="5" t="s">
        <v>49</v>
      </c>
      <c r="E20" s="5">
        <v>306</v>
      </c>
      <c r="F20" s="5">
        <v>6705607</v>
      </c>
      <c r="G20" s="5">
        <v>39888</v>
      </c>
      <c r="H20" s="5">
        <f t="shared" si="0"/>
        <v>4.5633452720984096</v>
      </c>
      <c r="I20" s="6">
        <v>2.34</v>
      </c>
      <c r="J20" s="5">
        <v>6.1000000000000005</v>
      </c>
      <c r="K20">
        <f>G20*$V$2/$R$9</f>
        <v>52791.263208968136</v>
      </c>
      <c r="L20" s="10">
        <v>671</v>
      </c>
      <c r="M20" s="8">
        <f t="shared" si="2"/>
        <v>10.00655123391514</v>
      </c>
      <c r="N20">
        <v>0.5540752351097179</v>
      </c>
      <c r="O20">
        <v>0.47020000000000001</v>
      </c>
      <c r="P20" s="14">
        <v>595.60099968817894</v>
      </c>
    </row>
    <row r="21" spans="1:16" x14ac:dyDescent="0.35">
      <c r="A21" s="5">
        <v>2016</v>
      </c>
      <c r="B21" s="5">
        <v>4</v>
      </c>
      <c r="C21" s="5" t="s">
        <v>1</v>
      </c>
      <c r="D21" s="5" t="s">
        <v>49</v>
      </c>
      <c r="E21" s="5">
        <v>389</v>
      </c>
      <c r="F21" s="5">
        <v>6793278</v>
      </c>
      <c r="G21" s="5">
        <v>41173</v>
      </c>
      <c r="H21" s="5">
        <f t="shared" si="0"/>
        <v>5.7262488006526455</v>
      </c>
      <c r="I21" s="6">
        <v>2.3199999999999998</v>
      </c>
      <c r="J21" s="5">
        <v>5.5</v>
      </c>
      <c r="K21">
        <f>G21*$V$2/$R$10</f>
        <v>53813.085439174691</v>
      </c>
      <c r="L21" s="10">
        <v>769</v>
      </c>
      <c r="M21" s="8">
        <f t="shared" si="2"/>
        <v>11.320013695891733</v>
      </c>
      <c r="N21">
        <v>0.59402045633359557</v>
      </c>
      <c r="O21">
        <v>0.4713</v>
      </c>
      <c r="P21" s="14">
        <v>586.50441131032198</v>
      </c>
    </row>
    <row r="22" spans="1:16" x14ac:dyDescent="0.35">
      <c r="A22" s="5">
        <v>2017</v>
      </c>
      <c r="B22" s="5">
        <v>4</v>
      </c>
      <c r="C22" s="5" t="s">
        <v>1</v>
      </c>
      <c r="D22" s="5" t="s">
        <v>49</v>
      </c>
      <c r="E22" s="5">
        <v>422</v>
      </c>
      <c r="F22" s="5">
        <v>6872380</v>
      </c>
      <c r="G22" s="5">
        <v>43255</v>
      </c>
      <c r="H22" s="5">
        <f t="shared" si="0"/>
        <v>6.1405219152607984</v>
      </c>
      <c r="I22" s="6">
        <v>2.29</v>
      </c>
      <c r="J22" s="5">
        <v>5</v>
      </c>
      <c r="K22">
        <f>G22*$V$2/$R$11</f>
        <v>55355.000387565276</v>
      </c>
      <c r="L22" s="10">
        <v>928</v>
      </c>
      <c r="M22" s="8">
        <f t="shared" si="2"/>
        <v>13.503327813654076</v>
      </c>
      <c r="N22">
        <v>0.59683496608892239</v>
      </c>
      <c r="O22">
        <v>0.46679999999999999</v>
      </c>
      <c r="P22" s="14">
        <v>566.135631828344</v>
      </c>
    </row>
    <row r="23" spans="1:16" x14ac:dyDescent="0.35">
      <c r="A23" s="5">
        <v>2018</v>
      </c>
      <c r="B23" s="5">
        <v>4</v>
      </c>
      <c r="C23" s="5" t="s">
        <v>1</v>
      </c>
      <c r="D23" s="5" t="s">
        <v>49</v>
      </c>
      <c r="E23" s="5">
        <v>383</v>
      </c>
      <c r="F23" s="5">
        <v>6964300</v>
      </c>
      <c r="G23" s="5">
        <v>45297</v>
      </c>
      <c r="H23" s="5">
        <f t="shared" si="0"/>
        <v>5.499475898510978</v>
      </c>
      <c r="I23" s="6">
        <v>2.25</v>
      </c>
      <c r="J23" s="5">
        <v>4.8000000000000007</v>
      </c>
      <c r="K23">
        <f>G23*$V$2/$R$12</f>
        <v>56586.119196199237</v>
      </c>
      <c r="L23" s="10">
        <v>1106</v>
      </c>
      <c r="M23" s="8">
        <f t="shared" si="2"/>
        <v>15.88099306462961</v>
      </c>
      <c r="N23">
        <v>0.55771905424200274</v>
      </c>
      <c r="O23">
        <v>0.46129999999999999</v>
      </c>
      <c r="P23" s="14">
        <v>559.883552641601</v>
      </c>
    </row>
    <row r="24" spans="1:16" x14ac:dyDescent="0.35">
      <c r="A24" s="5">
        <v>2008</v>
      </c>
      <c r="B24" s="5">
        <v>5</v>
      </c>
      <c r="C24" s="5" t="s">
        <v>2</v>
      </c>
      <c r="D24" s="5" t="s">
        <v>50</v>
      </c>
      <c r="E24" s="5">
        <v>165</v>
      </c>
      <c r="F24" s="5">
        <v>2874554</v>
      </c>
      <c r="G24" s="5">
        <v>32157</v>
      </c>
      <c r="H24" s="5">
        <f t="shared" si="0"/>
        <v>5.7400208867184261</v>
      </c>
      <c r="I24" s="6">
        <v>1.86</v>
      </c>
      <c r="J24" s="5">
        <v>5.4</v>
      </c>
      <c r="K24">
        <f t="shared" ref="K24" si="3">G24*$V$2/$R$2</f>
        <v>46851.633154205934</v>
      </c>
      <c r="L24" s="10">
        <v>197</v>
      </c>
      <c r="M24" s="8">
        <f t="shared" si="2"/>
        <v>6.8532370586880615</v>
      </c>
      <c r="N24">
        <v>0.61521252796420578</v>
      </c>
      <c r="O24">
        <v>0.45900000000000002</v>
      </c>
      <c r="P24" s="14">
        <v>511.2</v>
      </c>
    </row>
    <row r="25" spans="1:16" x14ac:dyDescent="0.35">
      <c r="A25" s="5">
        <v>2009</v>
      </c>
      <c r="B25" s="5">
        <v>5</v>
      </c>
      <c r="C25" s="5" t="s">
        <v>2</v>
      </c>
      <c r="D25" s="5" t="s">
        <v>50</v>
      </c>
      <c r="E25" s="5">
        <v>179</v>
      </c>
      <c r="F25" s="5">
        <v>2896843</v>
      </c>
      <c r="G25" s="5">
        <v>31411</v>
      </c>
      <c r="H25" s="5">
        <f t="shared" si="0"/>
        <v>6.1791405333323208</v>
      </c>
      <c r="I25" s="6">
        <v>1.82</v>
      </c>
      <c r="J25" s="5">
        <v>7.7</v>
      </c>
      <c r="K25">
        <f t="shared" ref="K25" si="4">G25*$V$2/$R$3</f>
        <v>45928.139104210466</v>
      </c>
      <c r="L25" s="10">
        <v>201</v>
      </c>
      <c r="M25" s="8">
        <f t="shared" si="2"/>
        <v>6.9385879731832212</v>
      </c>
      <c r="N25">
        <v>0.67535545023696686</v>
      </c>
      <c r="O25">
        <v>0.46100000000000002</v>
      </c>
      <c r="P25" s="14">
        <v>524.11</v>
      </c>
    </row>
    <row r="26" spans="1:16" x14ac:dyDescent="0.35">
      <c r="A26" s="5">
        <v>2010</v>
      </c>
      <c r="B26" s="5">
        <v>5</v>
      </c>
      <c r="C26" s="5" t="s">
        <v>2</v>
      </c>
      <c r="D26" s="5" t="s">
        <v>50</v>
      </c>
      <c r="E26" s="5">
        <v>134</v>
      </c>
      <c r="F26" s="5">
        <v>2921546</v>
      </c>
      <c r="G26" s="5">
        <v>32218</v>
      </c>
      <c r="H26" s="5">
        <f t="shared" si="0"/>
        <v>4.5866127043695357</v>
      </c>
      <c r="I26" s="6">
        <v>1.8</v>
      </c>
      <c r="J26" s="5">
        <v>7.9</v>
      </c>
      <c r="K26">
        <f t="shared" ref="K26" si="5">G26*$V$2/$R$4</f>
        <v>46347.874867006642</v>
      </c>
      <c r="L26" s="10">
        <v>189</v>
      </c>
      <c r="M26" s="8">
        <f t="shared" si="2"/>
        <v>6.4691776203421067</v>
      </c>
      <c r="N26">
        <v>0.59507829977628635</v>
      </c>
      <c r="O26">
        <v>0.45800000000000002</v>
      </c>
      <c r="P26" s="14">
        <v>552.67999999999995</v>
      </c>
    </row>
    <row r="27" spans="1:16" x14ac:dyDescent="0.35">
      <c r="A27" s="5">
        <v>2011</v>
      </c>
      <c r="B27" s="5">
        <v>5</v>
      </c>
      <c r="C27" s="5" t="s">
        <v>2</v>
      </c>
      <c r="D27" s="5" t="s">
        <v>50</v>
      </c>
      <c r="E27" s="5">
        <v>160</v>
      </c>
      <c r="F27" s="5">
        <v>2938773</v>
      </c>
      <c r="G27" s="5">
        <v>34181</v>
      </c>
      <c r="H27" s="5">
        <f t="shared" si="0"/>
        <v>5.4444490949113797</v>
      </c>
      <c r="I27" s="6">
        <v>1.72</v>
      </c>
      <c r="J27" s="5">
        <v>7.9</v>
      </c>
      <c r="K27">
        <f t="shared" ref="K27" si="6">G27*$V$2/$R$5</f>
        <v>47667.161803866831</v>
      </c>
      <c r="L27" s="10">
        <v>169</v>
      </c>
      <c r="M27" s="8">
        <f t="shared" si="2"/>
        <v>5.750699356500145</v>
      </c>
      <c r="N27">
        <v>0.6471861471861472</v>
      </c>
      <c r="O27">
        <v>0.46839999999999998</v>
      </c>
      <c r="P27" s="14">
        <v>544.64495852758</v>
      </c>
    </row>
    <row r="28" spans="1:16" x14ac:dyDescent="0.35">
      <c r="A28" s="5">
        <v>2012</v>
      </c>
      <c r="B28" s="5">
        <v>5</v>
      </c>
      <c r="C28" s="5" t="s">
        <v>2</v>
      </c>
      <c r="D28" s="5" t="s">
        <v>50</v>
      </c>
      <c r="E28" s="5">
        <v>174</v>
      </c>
      <c r="F28" s="5">
        <v>2948793</v>
      </c>
      <c r="G28" s="5">
        <v>36289</v>
      </c>
      <c r="H28" s="5">
        <f t="shared" si="0"/>
        <v>5.9007193790815426</v>
      </c>
      <c r="I28" s="6">
        <v>1.8</v>
      </c>
      <c r="J28" s="5">
        <v>7.3000000000000007</v>
      </c>
      <c r="K28">
        <f t="shared" ref="K28" si="7">G28*$V$2/$R$6</f>
        <v>49580.825809907932</v>
      </c>
      <c r="L28" s="10">
        <v>169</v>
      </c>
      <c r="M28" s="8">
        <f t="shared" si="2"/>
        <v>5.7311584773837971</v>
      </c>
      <c r="N28">
        <v>0.63298969072164946</v>
      </c>
      <c r="O28">
        <v>0.4632</v>
      </c>
      <c r="P28" s="14">
        <v>494.23304601422899</v>
      </c>
    </row>
    <row r="29" spans="1:16" x14ac:dyDescent="0.35">
      <c r="A29" s="5">
        <v>2013</v>
      </c>
      <c r="B29" s="5">
        <v>5</v>
      </c>
      <c r="C29" s="5" t="s">
        <v>2</v>
      </c>
      <c r="D29" s="5" t="s">
        <v>50</v>
      </c>
      <c r="E29" s="5">
        <v>158</v>
      </c>
      <c r="F29" s="5">
        <v>2954563</v>
      </c>
      <c r="G29" s="5">
        <v>36286</v>
      </c>
      <c r="H29" s="5">
        <f t="shared" si="0"/>
        <v>5.3476605508158057</v>
      </c>
      <c r="I29" s="6">
        <v>1.8</v>
      </c>
      <c r="J29" s="5">
        <v>7.1000000000000005</v>
      </c>
      <c r="K29">
        <f t="shared" ref="K29" si="8">G29*$V$2/$R$7</f>
        <v>48861.030378996991</v>
      </c>
      <c r="L29" s="10">
        <v>162</v>
      </c>
      <c r="M29" s="8">
        <f t="shared" si="2"/>
        <v>5.4830443622288643</v>
      </c>
      <c r="N29">
        <v>0.62403100775193798</v>
      </c>
      <c r="O29">
        <v>0.46850000000000003</v>
      </c>
      <c r="P29" s="14">
        <v>579.04276223543798</v>
      </c>
    </row>
    <row r="30" spans="1:16" x14ac:dyDescent="0.35">
      <c r="A30" s="5">
        <v>2014</v>
      </c>
      <c r="B30" s="5">
        <v>5</v>
      </c>
      <c r="C30" s="5" t="s">
        <v>2</v>
      </c>
      <c r="D30" s="5" t="s">
        <v>50</v>
      </c>
      <c r="E30" s="5">
        <v>175</v>
      </c>
      <c r="F30" s="5">
        <v>2961050</v>
      </c>
      <c r="G30" s="5">
        <v>38220</v>
      </c>
      <c r="H30" s="5">
        <f t="shared" si="0"/>
        <v>5.9100656861586263</v>
      </c>
      <c r="I30" s="6">
        <v>1.79</v>
      </c>
      <c r="J30" s="5">
        <v>5.9</v>
      </c>
      <c r="K30">
        <f t="shared" ref="K30" si="9">G30*$V$2/$R$8</f>
        <v>50643.727950121654</v>
      </c>
      <c r="L30" s="10">
        <v>173</v>
      </c>
      <c r="M30" s="8">
        <f t="shared" si="2"/>
        <v>5.8425220783168132</v>
      </c>
      <c r="N30">
        <v>0.62718446601941746</v>
      </c>
      <c r="O30">
        <v>0.47139999999999999</v>
      </c>
      <c r="P30" s="14">
        <v>599.21237150427203</v>
      </c>
    </row>
    <row r="31" spans="1:16" x14ac:dyDescent="0.35">
      <c r="A31" s="5">
        <v>2015</v>
      </c>
      <c r="B31" s="5">
        <v>5</v>
      </c>
      <c r="C31" s="5" t="s">
        <v>2</v>
      </c>
      <c r="D31" s="5" t="s">
        <v>50</v>
      </c>
      <c r="E31" s="5">
        <v>189</v>
      </c>
      <c r="F31" s="5">
        <v>2970210</v>
      </c>
      <c r="G31" s="5">
        <v>39267</v>
      </c>
      <c r="H31" s="5">
        <f t="shared" si="0"/>
        <v>6.3631864413627319</v>
      </c>
      <c r="I31" s="6">
        <v>1.83</v>
      </c>
      <c r="J31" s="5">
        <v>5</v>
      </c>
      <c r="K31">
        <f t="shared" ref="K31" si="10">G31*$V$2/$R$9</f>
        <v>51969.377567853786</v>
      </c>
      <c r="L31" s="10">
        <v>203</v>
      </c>
      <c r="M31" s="8">
        <f t="shared" si="2"/>
        <v>6.834533585167379</v>
      </c>
      <c r="N31">
        <v>0.59272097053726169</v>
      </c>
      <c r="O31">
        <v>0.4773</v>
      </c>
      <c r="P31" s="14">
        <v>591.78241605829896</v>
      </c>
    </row>
    <row r="32" spans="1:16" x14ac:dyDescent="0.35">
      <c r="A32" s="5">
        <v>2016</v>
      </c>
      <c r="B32" s="5">
        <v>5</v>
      </c>
      <c r="C32" s="5" t="s">
        <v>2</v>
      </c>
      <c r="D32" s="5" t="s">
        <v>50</v>
      </c>
      <c r="E32" s="5">
        <v>217</v>
      </c>
      <c r="F32" s="5">
        <v>2980475</v>
      </c>
      <c r="G32" s="5">
        <v>40181</v>
      </c>
      <c r="H32" s="5">
        <f t="shared" si="0"/>
        <v>7.2807186773920263</v>
      </c>
      <c r="I32" s="6">
        <v>1.8</v>
      </c>
      <c r="J32" s="5">
        <v>4</v>
      </c>
      <c r="K32">
        <f t="shared" ref="K32" si="11">G32*$V$2/$R$10</f>
        <v>52516.542055023398</v>
      </c>
      <c r="L32" s="10">
        <v>169</v>
      </c>
      <c r="M32" s="8">
        <f t="shared" si="2"/>
        <v>5.6702371266324993</v>
      </c>
      <c r="N32">
        <v>0.59639639639639641</v>
      </c>
      <c r="O32">
        <v>0.47189999999999999</v>
      </c>
      <c r="P32" s="14">
        <v>583.08590440874502</v>
      </c>
    </row>
    <row r="33" spans="1:16" x14ac:dyDescent="0.35">
      <c r="A33" s="5">
        <v>2017</v>
      </c>
      <c r="B33" s="5">
        <v>5</v>
      </c>
      <c r="C33" s="5" t="s">
        <v>2</v>
      </c>
      <c r="D33" s="5" t="s">
        <v>50</v>
      </c>
      <c r="E33" s="5">
        <v>249</v>
      </c>
      <c r="F33" s="5">
        <v>2990702</v>
      </c>
      <c r="G33" s="5">
        <v>41403</v>
      </c>
      <c r="H33" s="5">
        <f t="shared" si="0"/>
        <v>8.3258044432377414</v>
      </c>
      <c r="I33" s="6">
        <v>1.82</v>
      </c>
      <c r="J33" s="5">
        <v>3.7</v>
      </c>
      <c r="K33">
        <f t="shared" ref="K33" si="12">G33*$V$2/$R$11</f>
        <v>52984.928471768937</v>
      </c>
      <c r="L33" s="10">
        <v>188</v>
      </c>
      <c r="M33" s="8">
        <f t="shared" si="2"/>
        <v>6.2861495394726727</v>
      </c>
      <c r="N33">
        <v>0.62123613312202852</v>
      </c>
      <c r="O33">
        <v>0.47249999999999998</v>
      </c>
      <c r="P33" s="14">
        <v>599.14070434592998</v>
      </c>
    </row>
    <row r="34" spans="1:16" x14ac:dyDescent="0.35">
      <c r="A34" s="5">
        <v>2018</v>
      </c>
      <c r="B34" s="5">
        <v>5</v>
      </c>
      <c r="C34" s="5" t="s">
        <v>2</v>
      </c>
      <c r="D34" s="5" t="s">
        <v>50</v>
      </c>
      <c r="E34" s="5">
        <v>222</v>
      </c>
      <c r="F34" s="5">
        <v>2997195</v>
      </c>
      <c r="G34" s="5">
        <v>43031</v>
      </c>
      <c r="H34" s="5">
        <f t="shared" si="0"/>
        <v>7.4069254753194231</v>
      </c>
      <c r="I34" s="6">
        <v>1.78</v>
      </c>
      <c r="J34" s="5">
        <v>3.7</v>
      </c>
      <c r="K34">
        <f t="shared" ref="K34" si="13">G34*$V$2/$R$12</f>
        <v>53755.376628289938</v>
      </c>
      <c r="L34" s="10">
        <v>208</v>
      </c>
      <c r="M34" s="8">
        <f t="shared" si="2"/>
        <v>6.9398220669659469</v>
      </c>
      <c r="N34">
        <v>0.62274368231046928</v>
      </c>
      <c r="O34">
        <v>0.48449999999999999</v>
      </c>
      <c r="P34" s="14">
        <v>590.31505142491596</v>
      </c>
    </row>
    <row r="35" spans="1:16" x14ac:dyDescent="0.35">
      <c r="A35" s="5">
        <v>2008</v>
      </c>
      <c r="B35" s="5">
        <v>6</v>
      </c>
      <c r="C35" s="5" t="s">
        <v>3</v>
      </c>
      <c r="D35" s="5" t="s">
        <v>51</v>
      </c>
      <c r="E35" s="5">
        <v>2142</v>
      </c>
      <c r="F35" s="5">
        <v>36604337</v>
      </c>
      <c r="G35" s="5">
        <v>43391</v>
      </c>
      <c r="H35" s="5">
        <f t="shared" si="0"/>
        <v>5.851765598158492</v>
      </c>
      <c r="I35" s="6">
        <v>2.2999999999999998</v>
      </c>
      <c r="J35" s="5">
        <v>7.3000000000000007</v>
      </c>
      <c r="K35">
        <f t="shared" ref="K35" si="14">G35*$V$2/$R$2</f>
        <v>63219.181335141642</v>
      </c>
      <c r="L35" s="10">
        <v>1801</v>
      </c>
      <c r="M35" s="8">
        <f t="shared" si="2"/>
        <v>4.9201819991986193</v>
      </c>
      <c r="N35">
        <v>0.39152317880794701</v>
      </c>
      <c r="O35">
        <v>0.47299999999999998</v>
      </c>
      <c r="P35" s="14">
        <v>471.79</v>
      </c>
    </row>
    <row r="36" spans="1:16" x14ac:dyDescent="0.35">
      <c r="A36" s="5">
        <v>2009</v>
      </c>
      <c r="B36" s="5">
        <v>6</v>
      </c>
      <c r="C36" s="5" t="s">
        <v>3</v>
      </c>
      <c r="D36" s="5" t="s">
        <v>51</v>
      </c>
      <c r="E36" s="5">
        <v>1972</v>
      </c>
      <c r="F36" s="5">
        <v>36961229</v>
      </c>
      <c r="G36" s="5">
        <v>41660</v>
      </c>
      <c r="H36" s="5">
        <f t="shared" si="0"/>
        <v>5.3353204245454071</v>
      </c>
      <c r="I36" s="6">
        <v>2.2799999999999998</v>
      </c>
      <c r="J36" s="5">
        <v>11.5</v>
      </c>
      <c r="K36">
        <f t="shared" ref="K36" si="15">G36*$V$2/$R$3</f>
        <v>60913.892428811814</v>
      </c>
      <c r="L36" s="10">
        <v>1987</v>
      </c>
      <c r="M36" s="8">
        <f t="shared" si="2"/>
        <v>5.3759034906550323</v>
      </c>
      <c r="N36">
        <v>0.3973319382683756</v>
      </c>
      <c r="O36">
        <v>0.46700000000000003</v>
      </c>
      <c r="P36" s="14">
        <v>460.29</v>
      </c>
    </row>
    <row r="37" spans="1:16" x14ac:dyDescent="0.35">
      <c r="A37" s="5">
        <v>2010</v>
      </c>
      <c r="B37" s="5">
        <v>6</v>
      </c>
      <c r="C37" s="5" t="s">
        <v>3</v>
      </c>
      <c r="D37" s="5" t="s">
        <v>51</v>
      </c>
      <c r="E37" s="5">
        <v>1809</v>
      </c>
      <c r="F37" s="5">
        <v>37322523</v>
      </c>
      <c r="G37" s="5">
        <v>43137</v>
      </c>
      <c r="H37" s="5">
        <f t="shared" si="0"/>
        <v>4.8469392061195862</v>
      </c>
      <c r="I37" s="6">
        <v>2.16</v>
      </c>
      <c r="J37" s="5">
        <v>12.5</v>
      </c>
      <c r="K37">
        <f t="shared" ref="K37" si="16">G37*$V$2/$R$4</f>
        <v>62055.629714385301</v>
      </c>
      <c r="L37" s="10">
        <v>1929</v>
      </c>
      <c r="M37" s="8">
        <f t="shared" si="2"/>
        <v>5.1684608781673198</v>
      </c>
      <c r="N37">
        <v>0.38129312547917199</v>
      </c>
      <c r="O37">
        <v>0.47099999999999997</v>
      </c>
      <c r="P37" s="14">
        <v>439.8</v>
      </c>
    </row>
    <row r="38" spans="1:16" x14ac:dyDescent="0.35">
      <c r="A38" s="5">
        <v>2011</v>
      </c>
      <c r="B38" s="5">
        <v>6</v>
      </c>
      <c r="C38" s="5" t="s">
        <v>3</v>
      </c>
      <c r="D38" s="5" t="s">
        <v>51</v>
      </c>
      <c r="E38" s="5">
        <v>1792</v>
      </c>
      <c r="F38" s="5">
        <v>37651212</v>
      </c>
      <c r="G38" s="5">
        <v>45508</v>
      </c>
      <c r="H38" s="5">
        <f t="shared" si="0"/>
        <v>4.759474940673889</v>
      </c>
      <c r="I38" s="6">
        <v>2.25</v>
      </c>
      <c r="J38" s="5">
        <v>11.9</v>
      </c>
      <c r="K38">
        <f t="shared" ref="K38" si="17">G38*$V$2/$R$5</f>
        <v>63463.2456443747</v>
      </c>
      <c r="L38" s="10">
        <v>1938</v>
      </c>
      <c r="M38" s="8">
        <f t="shared" si="2"/>
        <v>5.1472446624028994</v>
      </c>
      <c r="N38">
        <v>0.3913913913913914</v>
      </c>
      <c r="O38">
        <v>0.48120000000000002</v>
      </c>
      <c r="P38" s="14">
        <v>393.49657691644097</v>
      </c>
    </row>
    <row r="39" spans="1:16" x14ac:dyDescent="0.35">
      <c r="A39" s="5">
        <v>2012</v>
      </c>
      <c r="B39" s="5">
        <v>6</v>
      </c>
      <c r="C39" s="5" t="s">
        <v>3</v>
      </c>
      <c r="D39" s="5" t="s">
        <v>51</v>
      </c>
      <c r="E39" s="5">
        <v>1884</v>
      </c>
      <c r="F39" s="5">
        <v>37971412</v>
      </c>
      <c r="G39" s="5">
        <v>47793</v>
      </c>
      <c r="H39" s="5">
        <f t="shared" si="0"/>
        <v>4.9616274475123543</v>
      </c>
      <c r="I39" s="6">
        <v>2.3499999999999899</v>
      </c>
      <c r="J39" s="5">
        <v>10.5</v>
      </c>
      <c r="K39">
        <f t="shared" ref="K39" si="18">G39*$V$2/$R$6</f>
        <v>65298.476340845147</v>
      </c>
      <c r="L39" s="10">
        <v>1719</v>
      </c>
      <c r="M39" s="8">
        <f t="shared" si="2"/>
        <v>4.5270900118225779</v>
      </c>
      <c r="N39">
        <v>0.39789365527870535</v>
      </c>
      <c r="O39">
        <v>0.48220000000000002</v>
      </c>
      <c r="P39" s="14">
        <v>351.20150921581097</v>
      </c>
    </row>
    <row r="40" spans="1:16" x14ac:dyDescent="0.35">
      <c r="A40" s="5">
        <v>2013</v>
      </c>
      <c r="B40" s="5">
        <v>6</v>
      </c>
      <c r="C40" s="5" t="s">
        <v>3</v>
      </c>
      <c r="D40" s="5" t="s">
        <v>51</v>
      </c>
      <c r="E40" s="5">
        <v>1746</v>
      </c>
      <c r="F40" s="5">
        <v>38292557</v>
      </c>
      <c r="G40" s="5">
        <v>48074</v>
      </c>
      <c r="H40" s="5">
        <f t="shared" si="0"/>
        <v>4.559632828907195</v>
      </c>
      <c r="I40" s="6">
        <v>2.3299999999999899</v>
      </c>
      <c r="J40" s="5">
        <v>9</v>
      </c>
      <c r="K40">
        <f t="shared" ref="K40" si="19">G40*$V$2/$R$7</f>
        <v>64734.199813699532</v>
      </c>
      <c r="L40" s="10">
        <v>1948</v>
      </c>
      <c r="M40" s="8">
        <f t="shared" si="2"/>
        <v>5.0871504872343731</v>
      </c>
      <c r="N40">
        <v>0.3903105590062112</v>
      </c>
      <c r="O40">
        <v>0.49030000000000001</v>
      </c>
      <c r="P40" s="14">
        <v>352.032249002762</v>
      </c>
    </row>
    <row r="41" spans="1:16" x14ac:dyDescent="0.35">
      <c r="A41" s="5">
        <v>2014</v>
      </c>
      <c r="B41" s="5">
        <v>6</v>
      </c>
      <c r="C41" s="5" t="s">
        <v>3</v>
      </c>
      <c r="D41" s="5" t="s">
        <v>51</v>
      </c>
      <c r="E41" s="5">
        <v>1700</v>
      </c>
      <c r="F41" s="5">
        <v>38637421</v>
      </c>
      <c r="G41" s="5">
        <v>50617</v>
      </c>
      <c r="H41" s="5">
        <f t="shared" si="0"/>
        <v>4.3998795882364927</v>
      </c>
      <c r="I41" s="6">
        <v>2.3299999999999899</v>
      </c>
      <c r="J41" s="5">
        <v>7.6000000000000005</v>
      </c>
      <c r="K41">
        <f t="shared" ref="K41" si="20">G41*$V$2/$R$8</f>
        <v>67070.475605738044</v>
      </c>
      <c r="L41" s="10">
        <v>2024</v>
      </c>
      <c r="M41" s="8">
        <f t="shared" si="2"/>
        <v>5.2384448744650944</v>
      </c>
      <c r="N41">
        <v>0.37541528239202659</v>
      </c>
      <c r="O41">
        <v>0.48899999999999999</v>
      </c>
      <c r="P41" s="14">
        <v>348.12090231164802</v>
      </c>
    </row>
    <row r="42" spans="1:16" x14ac:dyDescent="0.35">
      <c r="A42" s="5">
        <v>2015</v>
      </c>
      <c r="B42" s="5">
        <v>6</v>
      </c>
      <c r="C42" s="5" t="s">
        <v>3</v>
      </c>
      <c r="D42" s="5" t="s">
        <v>51</v>
      </c>
      <c r="E42" s="5">
        <v>1861</v>
      </c>
      <c r="F42" s="5">
        <v>38966939</v>
      </c>
      <c r="G42" s="5">
        <v>53816</v>
      </c>
      <c r="H42" s="5">
        <f t="shared" si="0"/>
        <v>4.7758434399992264</v>
      </c>
      <c r="I42" s="6">
        <v>2.2799999999999998</v>
      </c>
      <c r="J42" s="5">
        <v>6.3000000000000007</v>
      </c>
      <c r="K42">
        <f t="shared" ref="K42" si="21">G42*$V$2/$R$9</f>
        <v>71224.794947197879</v>
      </c>
      <c r="L42" s="10">
        <v>2018</v>
      </c>
      <c r="M42" s="8">
        <f t="shared" si="2"/>
        <v>5.1787490929169469</v>
      </c>
      <c r="N42">
        <v>0.37413006959443246</v>
      </c>
      <c r="O42">
        <v>0.48759999999999998</v>
      </c>
      <c r="P42" s="14">
        <v>330.19791199814802</v>
      </c>
    </row>
    <row r="43" spans="1:16" x14ac:dyDescent="0.35">
      <c r="A43" s="5">
        <v>2016</v>
      </c>
      <c r="B43" s="5">
        <v>6</v>
      </c>
      <c r="C43" s="5" t="s">
        <v>3</v>
      </c>
      <c r="D43" s="5" t="s">
        <v>51</v>
      </c>
      <c r="E43" s="5">
        <v>1930</v>
      </c>
      <c r="F43" s="5">
        <v>39223789</v>
      </c>
      <c r="G43" s="5">
        <v>55862</v>
      </c>
      <c r="H43" s="5">
        <f t="shared" si="0"/>
        <v>4.9204833321941441</v>
      </c>
      <c r="I43" s="6">
        <v>2.34</v>
      </c>
      <c r="J43" s="5">
        <v>5.5</v>
      </c>
      <c r="K43">
        <f t="shared" ref="K43" si="22">G43*$V$2/$R$10</f>
        <v>73011.599320019843</v>
      </c>
      <c r="L43" s="10">
        <v>2012</v>
      </c>
      <c r="M43" s="8">
        <f t="shared" si="2"/>
        <v>5.1295401369816673</v>
      </c>
      <c r="N43">
        <v>0.37144853283651608</v>
      </c>
      <c r="O43">
        <v>0.4899</v>
      </c>
      <c r="P43" s="14">
        <v>327.381249033524</v>
      </c>
    </row>
    <row r="44" spans="1:16" x14ac:dyDescent="0.35">
      <c r="A44" s="5">
        <v>2017</v>
      </c>
      <c r="B44" s="5">
        <v>6</v>
      </c>
      <c r="C44" s="5" t="s">
        <v>3</v>
      </c>
      <c r="D44" s="5" t="s">
        <v>51</v>
      </c>
      <c r="E44" s="5">
        <v>1830</v>
      </c>
      <c r="F44" s="5">
        <v>39424315</v>
      </c>
      <c r="G44" s="5">
        <v>58214</v>
      </c>
      <c r="H44" s="5">
        <f t="shared" si="0"/>
        <v>4.6418054441782948</v>
      </c>
      <c r="I44" s="6">
        <v>2.3099999999999898</v>
      </c>
      <c r="J44" s="5">
        <v>4.8000000000000007</v>
      </c>
      <c r="K44">
        <f t="shared" ref="K44" si="23">G44*$V$2/$R$11</f>
        <v>74498.578027088777</v>
      </c>
      <c r="L44" s="10">
        <v>2199</v>
      </c>
      <c r="M44" s="8">
        <f t="shared" si="2"/>
        <v>5.5777760501355571</v>
      </c>
      <c r="N44">
        <v>0.37337662337662336</v>
      </c>
      <c r="O44">
        <v>0.48659999999999998</v>
      </c>
      <c r="P44" s="14">
        <v>329.02569343203203</v>
      </c>
    </row>
    <row r="45" spans="1:16" x14ac:dyDescent="0.35">
      <c r="A45" s="5">
        <v>2018</v>
      </c>
      <c r="B45" s="5">
        <v>6</v>
      </c>
      <c r="C45" s="5" t="s">
        <v>3</v>
      </c>
      <c r="D45" s="5" t="s">
        <v>51</v>
      </c>
      <c r="E45" s="5">
        <v>1739</v>
      </c>
      <c r="F45" s="5">
        <v>39535920</v>
      </c>
      <c r="G45" s="5">
        <v>60984</v>
      </c>
      <c r="H45" s="5">
        <f t="shared" si="0"/>
        <v>4.3985317655438401</v>
      </c>
      <c r="I45" s="6">
        <v>2.48999999999999</v>
      </c>
      <c r="J45" s="5">
        <v>4.2</v>
      </c>
      <c r="K45">
        <f t="shared" ref="K45" si="24">G45*$V$2/$R$12</f>
        <v>76182.702895578375</v>
      </c>
      <c r="L45" s="10">
        <v>2410</v>
      </c>
      <c r="M45" s="8">
        <f t="shared" si="2"/>
        <v>6.0957225732953733</v>
      </c>
      <c r="N45">
        <v>0.36272545090180358</v>
      </c>
      <c r="O45">
        <v>0.49120000000000003</v>
      </c>
      <c r="P45" s="14">
        <v>322.60136553572602</v>
      </c>
    </row>
    <row r="46" spans="1:16" x14ac:dyDescent="0.35">
      <c r="A46" s="5">
        <v>2008</v>
      </c>
      <c r="B46" s="5">
        <v>8</v>
      </c>
      <c r="C46" s="5" t="s">
        <v>4</v>
      </c>
      <c r="D46" s="5" t="s">
        <v>52</v>
      </c>
      <c r="E46" s="5">
        <v>165</v>
      </c>
      <c r="F46" s="5">
        <v>4889730</v>
      </c>
      <c r="G46" s="5">
        <v>42961</v>
      </c>
      <c r="H46" s="5">
        <f t="shared" si="0"/>
        <v>3.3744194464725044</v>
      </c>
      <c r="I46" s="6">
        <v>2.77</v>
      </c>
      <c r="J46" s="5">
        <v>4.9000000000000004</v>
      </c>
      <c r="K46">
        <f t="shared" ref="K46" si="25">G46*$V$2/$R$2</f>
        <v>62592.686256113484</v>
      </c>
      <c r="L46" s="10">
        <v>355</v>
      </c>
      <c r="M46" s="8">
        <f t="shared" si="2"/>
        <v>7.2601145666529634</v>
      </c>
      <c r="N46">
        <v>0.48194271481942713</v>
      </c>
      <c r="O46">
        <v>0.45700000000000002</v>
      </c>
      <c r="P46" s="14">
        <v>471.59</v>
      </c>
    </row>
    <row r="47" spans="1:16" x14ac:dyDescent="0.35">
      <c r="A47" s="5">
        <v>2009</v>
      </c>
      <c r="B47" s="5">
        <v>8</v>
      </c>
      <c r="C47" s="5" t="s">
        <v>4</v>
      </c>
      <c r="D47" s="5" t="s">
        <v>52</v>
      </c>
      <c r="E47" s="5">
        <v>159</v>
      </c>
      <c r="F47" s="5">
        <v>4972195</v>
      </c>
      <c r="G47" s="5">
        <v>40258</v>
      </c>
      <c r="H47" s="5">
        <f t="shared" si="0"/>
        <v>3.1977828705430897</v>
      </c>
      <c r="I47" s="6">
        <v>2.7</v>
      </c>
      <c r="J47" s="5">
        <v>7.9</v>
      </c>
      <c r="K47">
        <f t="shared" ref="K47" si="26">G47*$V$2/$R$3</f>
        <v>58863.933782983819</v>
      </c>
      <c r="L47" s="10">
        <v>397</v>
      </c>
      <c r="M47" s="8">
        <f t="shared" si="2"/>
        <v>7.984401255381175</v>
      </c>
      <c r="N47">
        <v>0.48246546227417642</v>
      </c>
      <c r="O47">
        <v>0.45300000000000001</v>
      </c>
      <c r="P47" s="14">
        <v>453.65</v>
      </c>
    </row>
    <row r="48" spans="1:16" x14ac:dyDescent="0.35">
      <c r="A48" s="5">
        <v>2010</v>
      </c>
      <c r="B48" s="5">
        <v>8</v>
      </c>
      <c r="C48" s="5" t="s">
        <v>4</v>
      </c>
      <c r="D48" s="5" t="s">
        <v>52</v>
      </c>
      <c r="E48" s="5">
        <v>129</v>
      </c>
      <c r="F48" s="5">
        <v>5046928</v>
      </c>
      <c r="G48" s="5">
        <v>40827</v>
      </c>
      <c r="H48" s="5">
        <f t="shared" si="0"/>
        <v>2.556010309637863</v>
      </c>
      <c r="I48" s="6">
        <v>2.71</v>
      </c>
      <c r="J48" s="5">
        <v>9.2000000000000011</v>
      </c>
      <c r="K48">
        <f t="shared" ref="K48" si="27">G48*$V$2/$R$4</f>
        <v>58732.531106688191</v>
      </c>
      <c r="L48" s="10">
        <v>304</v>
      </c>
      <c r="M48" s="8">
        <f t="shared" si="2"/>
        <v>6.0234661560458163</v>
      </c>
      <c r="N48">
        <v>0.4936416184971098</v>
      </c>
      <c r="O48">
        <v>0.45700000000000002</v>
      </c>
      <c r="P48" s="14">
        <v>451.99</v>
      </c>
    </row>
    <row r="49" spans="1:16" x14ac:dyDescent="0.35">
      <c r="A49" s="5">
        <v>2011</v>
      </c>
      <c r="B49" s="5">
        <v>8</v>
      </c>
      <c r="C49" s="5" t="s">
        <v>4</v>
      </c>
      <c r="D49" s="5" t="s">
        <v>52</v>
      </c>
      <c r="E49" s="5">
        <v>155</v>
      </c>
      <c r="F49" s="5">
        <v>5118837</v>
      </c>
      <c r="G49" s="5">
        <v>43735</v>
      </c>
      <c r="H49" s="5">
        <f t="shared" si="0"/>
        <v>3.0280315626381538</v>
      </c>
      <c r="I49" s="6">
        <v>2.72</v>
      </c>
      <c r="J49" s="5">
        <v>8.7000000000000011</v>
      </c>
      <c r="K49">
        <f t="shared" ref="K49" si="28">G49*$V$2/$R$5</f>
        <v>60990.705991402123</v>
      </c>
      <c r="L49" s="10">
        <v>418</v>
      </c>
      <c r="M49" s="8">
        <f t="shared" si="2"/>
        <v>8.1659173753725689</v>
      </c>
      <c r="N49">
        <v>0.48521358159912376</v>
      </c>
      <c r="O49">
        <v>0.45879999999999999</v>
      </c>
      <c r="P49" s="14">
        <v>426.51876232320501</v>
      </c>
    </row>
    <row r="50" spans="1:16" x14ac:dyDescent="0.35">
      <c r="A50" s="5">
        <v>2012</v>
      </c>
      <c r="B50" s="5">
        <v>8</v>
      </c>
      <c r="C50" s="5" t="s">
        <v>4</v>
      </c>
      <c r="D50" s="5" t="s">
        <v>52</v>
      </c>
      <c r="E50" s="5">
        <v>152</v>
      </c>
      <c r="F50" s="5">
        <v>5188139</v>
      </c>
      <c r="G50" s="5">
        <v>45495</v>
      </c>
      <c r="H50" s="5">
        <f t="shared" si="0"/>
        <v>2.9297595920232671</v>
      </c>
      <c r="I50" s="6">
        <v>2.76</v>
      </c>
      <c r="J50" s="5">
        <v>8</v>
      </c>
      <c r="K50">
        <f t="shared" ref="K50" si="29">G50*$V$2/$R$6</f>
        <v>62158.771810238955</v>
      </c>
      <c r="L50" s="10">
        <v>407</v>
      </c>
      <c r="M50" s="8">
        <f t="shared" si="2"/>
        <v>7.8448168023254574</v>
      </c>
      <c r="N50">
        <v>0.50665399239543729</v>
      </c>
      <c r="O50">
        <v>0.45789999999999997</v>
      </c>
      <c r="P50" s="14">
        <v>392.16746022026302</v>
      </c>
    </row>
    <row r="51" spans="1:16" x14ac:dyDescent="0.35">
      <c r="A51" s="5">
        <v>2013</v>
      </c>
      <c r="B51" s="5">
        <v>8</v>
      </c>
      <c r="C51" s="5" t="s">
        <v>4</v>
      </c>
      <c r="D51" s="5" t="s">
        <v>52</v>
      </c>
      <c r="E51" s="5">
        <v>174</v>
      </c>
      <c r="F51" s="5">
        <v>5262801</v>
      </c>
      <c r="G51" s="5">
        <v>47088</v>
      </c>
      <c r="H51" s="5">
        <f t="shared" si="0"/>
        <v>3.3062241950626672</v>
      </c>
      <c r="I51" s="6">
        <v>2.8099999999999898</v>
      </c>
      <c r="J51" s="5">
        <v>6.7</v>
      </c>
      <c r="K51">
        <f t="shared" ref="K51" si="30">G51*$V$2/$R$7</f>
        <v>63406.498332310264</v>
      </c>
      <c r="L51" s="10">
        <v>433</v>
      </c>
      <c r="M51" s="8">
        <f t="shared" si="2"/>
        <v>8.2275579107019254</v>
      </c>
      <c r="N51">
        <v>0.48560079443892751</v>
      </c>
      <c r="O51">
        <v>0.46139999999999998</v>
      </c>
      <c r="P51" s="14">
        <v>383.26329761464598</v>
      </c>
    </row>
    <row r="52" spans="1:16" x14ac:dyDescent="0.35">
      <c r="A52" s="5">
        <v>2014</v>
      </c>
      <c r="B52" s="5">
        <v>8</v>
      </c>
      <c r="C52" s="5" t="s">
        <v>4</v>
      </c>
      <c r="D52" s="5" t="s">
        <v>52</v>
      </c>
      <c r="E52" s="5">
        <v>150</v>
      </c>
      <c r="F52" s="5">
        <v>5342212</v>
      </c>
      <c r="G52" s="5">
        <v>50251</v>
      </c>
      <c r="H52" s="5">
        <f t="shared" si="0"/>
        <v>2.8078256722121848</v>
      </c>
      <c r="I52" s="6">
        <v>2.77</v>
      </c>
      <c r="J52" s="5">
        <v>5</v>
      </c>
      <c r="K52">
        <f t="shared" ref="K52" si="31">G52*$V$2/$R$8</f>
        <v>66585.504270579899</v>
      </c>
      <c r="L52" s="10">
        <v>517</v>
      </c>
      <c r="M52" s="8">
        <f t="shared" si="2"/>
        <v>9.6776391502246639</v>
      </c>
      <c r="N52">
        <v>0.49769159741458913</v>
      </c>
      <c r="O52">
        <v>0.45839999999999997</v>
      </c>
      <c r="P52" s="14">
        <v>381.76993987946298</v>
      </c>
    </row>
    <row r="53" spans="1:16" x14ac:dyDescent="0.35">
      <c r="A53" s="5">
        <v>2015</v>
      </c>
      <c r="B53" s="5">
        <v>8</v>
      </c>
      <c r="C53" s="5" t="s">
        <v>4</v>
      </c>
      <c r="D53" s="5" t="s">
        <v>52</v>
      </c>
      <c r="E53" s="5">
        <v>173</v>
      </c>
      <c r="F53" s="5">
        <v>5441452</v>
      </c>
      <c r="G53" s="5">
        <v>51401</v>
      </c>
      <c r="H53" s="5">
        <f t="shared" si="0"/>
        <v>3.1792984666592665</v>
      </c>
      <c r="I53" s="6">
        <v>2.77</v>
      </c>
      <c r="J53" s="5">
        <v>3.7</v>
      </c>
      <c r="K53">
        <f t="shared" ref="K53" si="32">G53*$V$2/$R$9</f>
        <v>68028.57300953097</v>
      </c>
      <c r="L53" s="10">
        <v>495</v>
      </c>
      <c r="M53" s="8">
        <f t="shared" si="2"/>
        <v>9.096836653158018</v>
      </c>
      <c r="N53">
        <v>0.49496797804208598</v>
      </c>
      <c r="O53">
        <v>0.45800000000000002</v>
      </c>
      <c r="P53" s="14">
        <v>364.69061166882602</v>
      </c>
    </row>
    <row r="54" spans="1:16" x14ac:dyDescent="0.35">
      <c r="A54" s="5">
        <v>2016</v>
      </c>
      <c r="B54" s="5">
        <v>8</v>
      </c>
      <c r="C54" s="5" t="s">
        <v>4</v>
      </c>
      <c r="D54" s="5" t="s">
        <v>52</v>
      </c>
      <c r="E54" s="5">
        <v>189</v>
      </c>
      <c r="F54" s="5">
        <v>5528510</v>
      </c>
      <c r="G54" s="5">
        <v>51312</v>
      </c>
      <c r="H54" s="5">
        <f t="shared" si="0"/>
        <v>3.4186426360809694</v>
      </c>
      <c r="I54" s="6">
        <v>2.82</v>
      </c>
      <c r="J54" s="5">
        <v>3.1</v>
      </c>
      <c r="K54">
        <f t="shared" ref="K54" si="33">G54*$V$2/$R$10</f>
        <v>67064.752144729107</v>
      </c>
      <c r="L54" s="10">
        <v>536</v>
      </c>
      <c r="M54" s="8">
        <f t="shared" si="2"/>
        <v>9.6951981637005265</v>
      </c>
      <c r="N54">
        <v>0.52482876712328763</v>
      </c>
      <c r="O54">
        <v>0.45860000000000001</v>
      </c>
      <c r="P54" s="14">
        <v>356.59296623875002</v>
      </c>
    </row>
    <row r="55" spans="1:16" x14ac:dyDescent="0.35">
      <c r="A55" s="5">
        <v>2017</v>
      </c>
      <c r="B55" s="5">
        <v>8</v>
      </c>
      <c r="C55" s="5" t="s">
        <v>4</v>
      </c>
      <c r="D55" s="5" t="s">
        <v>52</v>
      </c>
      <c r="E55" s="5">
        <v>222</v>
      </c>
      <c r="F55" s="5">
        <v>5599635</v>
      </c>
      <c r="G55" s="5">
        <v>54176</v>
      </c>
      <c r="H55" s="5">
        <f t="shared" si="0"/>
        <v>3.9645441176076655</v>
      </c>
      <c r="I55" s="6">
        <v>2.84</v>
      </c>
      <c r="J55" s="5">
        <v>2.6</v>
      </c>
      <c r="K55">
        <f t="shared" ref="K55" si="34">G55*$V$2/$R$11</f>
        <v>69331.002219321163</v>
      </c>
      <c r="L55" s="10">
        <v>578</v>
      </c>
      <c r="M55" s="8">
        <f t="shared" si="2"/>
        <v>10.322101351248786</v>
      </c>
      <c r="N55">
        <v>0.50127011007620659</v>
      </c>
      <c r="O55">
        <v>0.45529999999999998</v>
      </c>
      <c r="P55" s="14">
        <v>350.46152763676599</v>
      </c>
    </row>
    <row r="56" spans="1:16" x14ac:dyDescent="0.35">
      <c r="A56" s="5">
        <v>2018</v>
      </c>
      <c r="B56" s="5">
        <v>8</v>
      </c>
      <c r="C56" s="5" t="s">
        <v>4</v>
      </c>
      <c r="D56" s="5" t="s">
        <v>52</v>
      </c>
      <c r="E56" s="5">
        <v>215</v>
      </c>
      <c r="F56" s="5">
        <v>5676918</v>
      </c>
      <c r="G56" s="5">
        <v>57798</v>
      </c>
      <c r="H56" s="5">
        <f t="shared" ref="H56:H108" si="35">E56/F56*100000</f>
        <v>3.7872662596148121</v>
      </c>
      <c r="I56" s="6">
        <v>2.88</v>
      </c>
      <c r="J56" s="5">
        <v>3</v>
      </c>
      <c r="K56">
        <f t="shared" ref="K56" si="36">G56*$V$2/$R$12</f>
        <v>72202.673848200167</v>
      </c>
      <c r="L56" s="10">
        <v>564</v>
      </c>
      <c r="M56" s="8">
        <f t="shared" si="2"/>
        <v>9.9349682345244368</v>
      </c>
      <c r="N56">
        <v>0.51482059282371295</v>
      </c>
      <c r="O56">
        <v>0.45610000000000001</v>
      </c>
      <c r="P56" s="14">
        <v>353.71789748991898</v>
      </c>
    </row>
    <row r="57" spans="1:16" x14ac:dyDescent="0.35">
      <c r="A57" s="5">
        <v>2008</v>
      </c>
      <c r="B57" s="5">
        <v>9</v>
      </c>
      <c r="C57" s="5" t="s">
        <v>5</v>
      </c>
      <c r="D57" s="5" t="s">
        <v>53</v>
      </c>
      <c r="E57" s="5">
        <v>132</v>
      </c>
      <c r="F57" s="5">
        <v>3545579</v>
      </c>
      <c r="G57" s="5">
        <v>60543</v>
      </c>
      <c r="H57" s="5">
        <f t="shared" si="35"/>
        <v>3.7229462381179492</v>
      </c>
      <c r="I57" s="6">
        <v>2.36</v>
      </c>
      <c r="J57" s="5">
        <v>5.6000000000000005</v>
      </c>
      <c r="K57">
        <f t="shared" ref="K57" si="37">G57*$V$2/$R$2</f>
        <v>88209.050161864914</v>
      </c>
      <c r="L57" s="10">
        <v>230</v>
      </c>
      <c r="M57" s="8">
        <f t="shared" si="2"/>
        <v>6.4869517785388506</v>
      </c>
      <c r="N57">
        <v>0.34603174603174602</v>
      </c>
      <c r="O57">
        <v>0.48599999999999999</v>
      </c>
      <c r="P57" s="14">
        <v>407.4</v>
      </c>
    </row>
    <row r="58" spans="1:16" x14ac:dyDescent="0.35">
      <c r="A58" s="5">
        <v>2009</v>
      </c>
      <c r="B58" s="5">
        <v>9</v>
      </c>
      <c r="C58" s="5" t="s">
        <v>5</v>
      </c>
      <c r="D58" s="5" t="s">
        <v>53</v>
      </c>
      <c r="E58" s="5">
        <v>106</v>
      </c>
      <c r="F58" s="5">
        <v>3561807</v>
      </c>
      <c r="G58" s="5">
        <v>59586</v>
      </c>
      <c r="H58" s="5">
        <f t="shared" si="35"/>
        <v>2.9760175102132149</v>
      </c>
      <c r="I58" s="6">
        <v>2.3099999999999898</v>
      </c>
      <c r="J58" s="5">
        <v>8.3000000000000007</v>
      </c>
      <c r="K58">
        <f t="shared" ref="K58" si="38">G58*$V$2/$R$3</f>
        <v>87124.704615054739</v>
      </c>
      <c r="L58" s="10">
        <v>216</v>
      </c>
      <c r="M58" s="8">
        <f t="shared" si="2"/>
        <v>6.0643375679816458</v>
      </c>
      <c r="N58">
        <v>0.29430379746835444</v>
      </c>
      <c r="O58">
        <v>0.48</v>
      </c>
      <c r="P58" s="14">
        <v>382.74</v>
      </c>
    </row>
    <row r="59" spans="1:16" x14ac:dyDescent="0.35">
      <c r="A59" s="5">
        <v>2010</v>
      </c>
      <c r="B59" s="5">
        <v>9</v>
      </c>
      <c r="C59" s="5" t="s">
        <v>5</v>
      </c>
      <c r="D59" s="5" t="s">
        <v>53</v>
      </c>
      <c r="E59" s="5">
        <v>133</v>
      </c>
      <c r="F59" s="5">
        <v>3580281</v>
      </c>
      <c r="G59" s="5">
        <v>61392</v>
      </c>
      <c r="H59" s="5">
        <f t="shared" si="35"/>
        <v>3.7147922188230478</v>
      </c>
      <c r="I59" s="6">
        <v>2.3499999999999899</v>
      </c>
      <c r="J59" s="5">
        <v>9.6000000000000014</v>
      </c>
      <c r="K59">
        <f t="shared" ref="K59" si="39">G59*$V$2/$R$4</f>
        <v>88316.740140147478</v>
      </c>
      <c r="L59" s="10">
        <v>223</v>
      </c>
      <c r="M59" s="8">
        <f t="shared" si="2"/>
        <v>6.2285613894551854</v>
      </c>
      <c r="N59">
        <v>0.31161473087818697</v>
      </c>
      <c r="O59">
        <v>0.48599999999999999</v>
      </c>
      <c r="P59" s="14">
        <v>372.2</v>
      </c>
    </row>
    <row r="60" spans="1:16" x14ac:dyDescent="0.35">
      <c r="A60" s="5">
        <v>2011</v>
      </c>
      <c r="B60" s="5">
        <v>9</v>
      </c>
      <c r="C60" s="5" t="s">
        <v>5</v>
      </c>
      <c r="D60" s="5" t="s">
        <v>53</v>
      </c>
      <c r="E60" s="5">
        <v>129</v>
      </c>
      <c r="F60" s="5">
        <v>3594181</v>
      </c>
      <c r="G60" s="5">
        <v>62964</v>
      </c>
      <c r="H60" s="5">
        <f t="shared" si="35"/>
        <v>3.5891347708977372</v>
      </c>
      <c r="I60" s="6">
        <v>2.3499999999999899</v>
      </c>
      <c r="J60" s="5">
        <v>9</v>
      </c>
      <c r="K60">
        <f t="shared" ref="K60" si="40">G60*$V$2/$R$5</f>
        <v>87806.535087290351</v>
      </c>
      <c r="L60" s="10">
        <v>209</v>
      </c>
      <c r="M60" s="8">
        <f t="shared" si="2"/>
        <v>5.8149547838575746</v>
      </c>
      <c r="N60">
        <v>0.3</v>
      </c>
      <c r="O60">
        <v>0.4859</v>
      </c>
      <c r="P60" s="14">
        <v>349.62297609976298</v>
      </c>
    </row>
    <row r="61" spans="1:16" x14ac:dyDescent="0.35">
      <c r="A61" s="5">
        <v>2012</v>
      </c>
      <c r="B61" s="5">
        <v>9</v>
      </c>
      <c r="C61" s="5" t="s">
        <v>5</v>
      </c>
      <c r="D61" s="5" t="s">
        <v>53</v>
      </c>
      <c r="E61" s="5">
        <v>117</v>
      </c>
      <c r="F61" s="5">
        <v>3605215</v>
      </c>
      <c r="G61" s="5">
        <v>63556</v>
      </c>
      <c r="H61" s="5">
        <f t="shared" si="35"/>
        <v>3.2452988240645846</v>
      </c>
      <c r="I61" s="6">
        <v>2.38</v>
      </c>
      <c r="J61" s="5">
        <v>8.4</v>
      </c>
      <c r="K61">
        <f t="shared" ref="K61" si="41">G61*$V$2/$R$6</f>
        <v>86835.100586252272</v>
      </c>
      <c r="L61" s="10">
        <v>201</v>
      </c>
      <c r="M61" s="8">
        <f t="shared" si="2"/>
        <v>5.5752569541622341</v>
      </c>
      <c r="N61">
        <v>0.3016304347826087</v>
      </c>
      <c r="O61">
        <v>0.49149999999999999</v>
      </c>
      <c r="P61" s="14">
        <v>332.56075955420602</v>
      </c>
    </row>
    <row r="62" spans="1:16" x14ac:dyDescent="0.35">
      <c r="A62" s="5">
        <v>2013</v>
      </c>
      <c r="B62" s="5">
        <v>9</v>
      </c>
      <c r="C62" s="5" t="s">
        <v>5</v>
      </c>
      <c r="D62" s="5" t="s">
        <v>53</v>
      </c>
      <c r="E62" s="5">
        <v>91</v>
      </c>
      <c r="F62" s="5">
        <v>3610238</v>
      </c>
      <c r="G62" s="5">
        <v>62000</v>
      </c>
      <c r="H62" s="5">
        <f t="shared" si="35"/>
        <v>2.520609444585094</v>
      </c>
      <c r="I62" s="6">
        <v>2.3699999999999899</v>
      </c>
      <c r="J62" s="5">
        <v>8</v>
      </c>
      <c r="K62">
        <f t="shared" ref="K62" si="42">G62*$V$2/$R$7</f>
        <v>83486.300046789751</v>
      </c>
      <c r="L62" s="10">
        <v>439</v>
      </c>
      <c r="M62" s="8">
        <f t="shared" si="2"/>
        <v>12.159863144756661</v>
      </c>
      <c r="N62">
        <v>0.27878787878787881</v>
      </c>
      <c r="O62">
        <v>0.49940000000000001</v>
      </c>
      <c r="P62" s="14">
        <v>337.947296671711</v>
      </c>
    </row>
    <row r="63" spans="1:16" x14ac:dyDescent="0.35">
      <c r="A63" s="5">
        <v>2014</v>
      </c>
      <c r="B63" s="5">
        <v>9</v>
      </c>
      <c r="C63" s="5" t="s">
        <v>5</v>
      </c>
      <c r="D63" s="5" t="s">
        <v>53</v>
      </c>
      <c r="E63" s="5">
        <v>89</v>
      </c>
      <c r="F63" s="5">
        <v>3614584</v>
      </c>
      <c r="G63" s="5">
        <v>64484</v>
      </c>
      <c r="H63" s="5">
        <f t="shared" si="35"/>
        <v>2.4622473844846322</v>
      </c>
      <c r="I63" s="6">
        <v>2.36</v>
      </c>
      <c r="J63" s="5">
        <v>6.6000000000000005</v>
      </c>
      <c r="K63">
        <f t="shared" ref="K63" si="43">G63*$V$2/$R$8</f>
        <v>85445.058951743718</v>
      </c>
      <c r="L63" s="10">
        <v>525</v>
      </c>
      <c r="M63" s="8">
        <f t="shared" si="2"/>
        <v>14.524492998364405</v>
      </c>
      <c r="N63">
        <v>0.32981530343007914</v>
      </c>
      <c r="O63">
        <v>0.50049999999999994</v>
      </c>
      <c r="P63" s="14">
        <v>326.49788381516498</v>
      </c>
    </row>
    <row r="64" spans="1:16" x14ac:dyDescent="0.35">
      <c r="A64" s="5">
        <v>2015</v>
      </c>
      <c r="B64" s="5">
        <v>9</v>
      </c>
      <c r="C64" s="5" t="s">
        <v>5</v>
      </c>
      <c r="D64" s="5" t="s">
        <v>53</v>
      </c>
      <c r="E64" s="5">
        <v>116</v>
      </c>
      <c r="F64" s="5">
        <v>3611891</v>
      </c>
      <c r="G64" s="5">
        <v>66222</v>
      </c>
      <c r="H64" s="5">
        <f t="shared" si="35"/>
        <v>3.2116140824847701</v>
      </c>
      <c r="I64" s="6">
        <v>2.4099999999999899</v>
      </c>
      <c r="J64" s="5">
        <v>5.6000000000000005</v>
      </c>
      <c r="K64">
        <f t="shared" ref="K64" si="44">G64*$V$2/$R$9</f>
        <v>87643.978946657837</v>
      </c>
      <c r="L64" s="10">
        <v>685</v>
      </c>
      <c r="M64" s="8">
        <f t="shared" si="2"/>
        <v>18.965134883638513</v>
      </c>
      <c r="N64">
        <v>0.27083333333333331</v>
      </c>
      <c r="O64">
        <v>0.49159999999999998</v>
      </c>
      <c r="P64" s="14">
        <v>313.306565447982</v>
      </c>
    </row>
    <row r="65" spans="1:16" x14ac:dyDescent="0.35">
      <c r="A65" s="5">
        <v>2016</v>
      </c>
      <c r="B65" s="5">
        <v>9</v>
      </c>
      <c r="C65" s="5" t="s">
        <v>5</v>
      </c>
      <c r="D65" s="5" t="s">
        <v>53</v>
      </c>
      <c r="E65" s="5">
        <v>79</v>
      </c>
      <c r="F65" s="5">
        <v>3607614</v>
      </c>
      <c r="G65" s="5">
        <v>67551</v>
      </c>
      <c r="H65" s="5">
        <f t="shared" si="35"/>
        <v>2.1898129899706564</v>
      </c>
      <c r="I65" s="6">
        <v>2.44</v>
      </c>
      <c r="J65" s="5">
        <v>4.8000000000000007</v>
      </c>
      <c r="K65">
        <f t="shared" ref="K65" si="45">G65*$V$2/$R$10</f>
        <v>88289.115063310659</v>
      </c>
      <c r="L65" s="10">
        <v>855</v>
      </c>
      <c r="M65" s="8">
        <f t="shared" si="2"/>
        <v>23.699874764872295</v>
      </c>
      <c r="N65">
        <v>0.2770780856423174</v>
      </c>
      <c r="O65">
        <v>0.4945</v>
      </c>
      <c r="P65" s="14">
        <v>288.79774043979199</v>
      </c>
    </row>
    <row r="66" spans="1:16" x14ac:dyDescent="0.35">
      <c r="A66" s="5">
        <v>2017</v>
      </c>
      <c r="B66" s="5">
        <v>9</v>
      </c>
      <c r="C66" s="5" t="s">
        <v>5</v>
      </c>
      <c r="D66" s="5" t="s">
        <v>53</v>
      </c>
      <c r="E66" s="5">
        <v>105</v>
      </c>
      <c r="F66" s="5">
        <v>3607550</v>
      </c>
      <c r="G66" s="5">
        <v>69147</v>
      </c>
      <c r="H66" s="5">
        <f t="shared" si="35"/>
        <v>2.9105625701653479</v>
      </c>
      <c r="I66" s="6">
        <v>2.4099999999999899</v>
      </c>
      <c r="J66" s="5">
        <v>4.4000000000000004</v>
      </c>
      <c r="K66">
        <f t="shared" ref="K66" si="46">G66*$V$2/$R$11</f>
        <v>88489.936696312012</v>
      </c>
      <c r="L66" s="10">
        <v>955</v>
      </c>
      <c r="M66" s="8">
        <f t="shared" si="2"/>
        <v>26.472259566741968</v>
      </c>
      <c r="N66">
        <v>0.26913580246913582</v>
      </c>
      <c r="O66">
        <v>0.49430000000000002</v>
      </c>
      <c r="P66" s="14">
        <v>269.33814892558502</v>
      </c>
    </row>
    <row r="67" spans="1:16" x14ac:dyDescent="0.35">
      <c r="A67" s="5">
        <v>2018</v>
      </c>
      <c r="B67" s="5">
        <v>9</v>
      </c>
      <c r="C67" s="5" t="s">
        <v>5</v>
      </c>
      <c r="D67" s="5" t="s">
        <v>53</v>
      </c>
      <c r="E67" s="5">
        <v>86</v>
      </c>
      <c r="F67" s="5">
        <v>3611229</v>
      </c>
      <c r="G67" s="5">
        <v>72159</v>
      </c>
      <c r="H67" s="5">
        <f t="shared" si="35"/>
        <v>2.3814607160055483</v>
      </c>
      <c r="I67" s="6">
        <v>2.4</v>
      </c>
      <c r="J67" s="5">
        <v>3.9000000000000004</v>
      </c>
      <c r="K67">
        <f t="shared" ref="K67" si="47">G67*$V$2/$R$12</f>
        <v>90142.785947823053</v>
      </c>
      <c r="L67" s="10">
        <v>948</v>
      </c>
      <c r="M67" s="8">
        <f t="shared" ref="M67:M130" si="48">L67/F67*100000</f>
        <v>26.251450683409995</v>
      </c>
      <c r="N67">
        <v>0.30310262529832938</v>
      </c>
      <c r="O67">
        <v>0.50139999999999996</v>
      </c>
      <c r="P67" s="14">
        <v>252.376182838251</v>
      </c>
    </row>
    <row r="68" spans="1:16" x14ac:dyDescent="0.35">
      <c r="A68" s="5">
        <v>2008</v>
      </c>
      <c r="B68" s="5">
        <v>10</v>
      </c>
      <c r="C68" s="5" t="s">
        <v>6</v>
      </c>
      <c r="D68" s="5" t="s">
        <v>54</v>
      </c>
      <c r="E68" s="5">
        <v>57</v>
      </c>
      <c r="F68" s="5">
        <v>883874</v>
      </c>
      <c r="G68" s="5">
        <v>41254</v>
      </c>
      <c r="H68" s="5">
        <f t="shared" si="35"/>
        <v>6.4488829855839178</v>
      </c>
      <c r="I68" s="6">
        <v>3.15</v>
      </c>
      <c r="J68" s="5">
        <v>5</v>
      </c>
      <c r="K68">
        <f t="shared" ref="K68" si="49">G68*$V$2/$R$2</f>
        <v>60105.646488901693</v>
      </c>
      <c r="L68" s="10">
        <v>65</v>
      </c>
      <c r="M68" s="8">
        <f t="shared" si="48"/>
        <v>7.3539893695255216</v>
      </c>
      <c r="N68">
        <v>0.37614678899082571</v>
      </c>
      <c r="O68">
        <v>0.44700000000000001</v>
      </c>
      <c r="P68" s="14">
        <v>464.16</v>
      </c>
    </row>
    <row r="69" spans="1:16" x14ac:dyDescent="0.35">
      <c r="A69" s="5">
        <v>2009</v>
      </c>
      <c r="B69" s="5">
        <v>10</v>
      </c>
      <c r="C69" s="5" t="s">
        <v>6</v>
      </c>
      <c r="D69" s="5" t="s">
        <v>54</v>
      </c>
      <c r="E69" s="5">
        <v>41</v>
      </c>
      <c r="F69" s="5">
        <v>891730</v>
      </c>
      <c r="G69" s="5">
        <v>41056</v>
      </c>
      <c r="H69" s="5">
        <f t="shared" si="35"/>
        <v>4.5978042681080593</v>
      </c>
      <c r="I69" s="6">
        <v>3.3099999999999898</v>
      </c>
      <c r="J69" s="5">
        <v>8.4</v>
      </c>
      <c r="K69">
        <f t="shared" ref="K69" si="50">G69*$V$2/$R$3</f>
        <v>60030.7433403096</v>
      </c>
      <c r="L69" s="10">
        <v>81</v>
      </c>
      <c r="M69" s="8">
        <f t="shared" si="48"/>
        <v>9.0834669687012877</v>
      </c>
      <c r="N69">
        <v>0.35514018691588783</v>
      </c>
      <c r="O69">
        <v>0.434</v>
      </c>
      <c r="P69" s="14">
        <v>448.64</v>
      </c>
    </row>
    <row r="70" spans="1:16" x14ac:dyDescent="0.35">
      <c r="A70" s="5">
        <v>2010</v>
      </c>
      <c r="B70" s="5">
        <v>10</v>
      </c>
      <c r="C70" s="5" t="s">
        <v>6</v>
      </c>
      <c r="D70" s="5" t="s">
        <v>54</v>
      </c>
      <c r="E70" s="5">
        <v>51</v>
      </c>
      <c r="F70" s="5">
        <v>899773</v>
      </c>
      <c r="G70" s="5">
        <v>41100</v>
      </c>
      <c r="H70" s="5">
        <f t="shared" si="35"/>
        <v>5.6680962865078186</v>
      </c>
      <c r="I70" s="6">
        <v>3.38</v>
      </c>
      <c r="J70" s="5">
        <v>8.7000000000000011</v>
      </c>
      <c r="K70">
        <f t="shared" ref="K70" si="51">G70*$V$2/$R$4</f>
        <v>59125.260942143301</v>
      </c>
      <c r="L70" s="10">
        <v>103</v>
      </c>
      <c r="M70" s="8">
        <f t="shared" si="48"/>
        <v>11.447331715888341</v>
      </c>
      <c r="N70">
        <v>0.40566037735849059</v>
      </c>
      <c r="O70">
        <v>0.44</v>
      </c>
      <c r="P70" s="14">
        <v>440.21</v>
      </c>
    </row>
    <row r="71" spans="1:16" x14ac:dyDescent="0.35">
      <c r="A71" s="5">
        <v>2011</v>
      </c>
      <c r="B71" s="5">
        <v>10</v>
      </c>
      <c r="C71" s="5" t="s">
        <v>6</v>
      </c>
      <c r="D71" s="5" t="s">
        <v>54</v>
      </c>
      <c r="E71" s="5">
        <v>48</v>
      </c>
      <c r="F71" s="5">
        <v>908220</v>
      </c>
      <c r="G71" s="5">
        <v>43779</v>
      </c>
      <c r="H71" s="5">
        <f t="shared" si="35"/>
        <v>5.2850630904406417</v>
      </c>
      <c r="I71" s="6">
        <v>3.55</v>
      </c>
      <c r="J71" s="5">
        <v>7.6000000000000005</v>
      </c>
      <c r="K71">
        <f t="shared" ref="K71" si="52">G71*$V$2/$R$5</f>
        <v>61052.066253517623</v>
      </c>
      <c r="L71" s="10">
        <v>113</v>
      </c>
      <c r="M71" s="8">
        <f t="shared" si="48"/>
        <v>12.441919358745679</v>
      </c>
      <c r="N71">
        <v>0.43809523809523809</v>
      </c>
      <c r="O71">
        <v>0.44040000000000001</v>
      </c>
      <c r="P71" s="14">
        <v>438.51385103455499</v>
      </c>
    </row>
    <row r="72" spans="1:16" x14ac:dyDescent="0.35">
      <c r="A72" s="5">
        <v>2012</v>
      </c>
      <c r="B72" s="5">
        <v>10</v>
      </c>
      <c r="C72" s="5" t="s">
        <v>6</v>
      </c>
      <c r="D72" s="5" t="s">
        <v>54</v>
      </c>
      <c r="E72" s="5">
        <v>56</v>
      </c>
      <c r="F72" s="5">
        <v>916654</v>
      </c>
      <c r="G72" s="5">
        <v>43771</v>
      </c>
      <c r="H72" s="5">
        <f t="shared" si="35"/>
        <v>6.1091753267863345</v>
      </c>
      <c r="I72" s="6">
        <v>3.59</v>
      </c>
      <c r="J72" s="5">
        <v>7.1000000000000005</v>
      </c>
      <c r="K72">
        <f t="shared" ref="K72" si="53">G72*$V$2/$R$6</f>
        <v>59803.310273787647</v>
      </c>
      <c r="L72" s="10">
        <v>82</v>
      </c>
      <c r="M72" s="8">
        <f t="shared" si="48"/>
        <v>8.9455781570799893</v>
      </c>
      <c r="N72">
        <v>0.36799999999999999</v>
      </c>
      <c r="O72">
        <v>0.43559999999999999</v>
      </c>
      <c r="P72" s="14">
        <v>448.36621605626698</v>
      </c>
    </row>
    <row r="73" spans="1:16" x14ac:dyDescent="0.35">
      <c r="A73" s="5">
        <v>2013</v>
      </c>
      <c r="B73" s="5">
        <v>10</v>
      </c>
      <c r="C73" s="5" t="s">
        <v>6</v>
      </c>
      <c r="D73" s="5" t="s">
        <v>54</v>
      </c>
      <c r="E73" s="5">
        <v>41</v>
      </c>
      <c r="F73" s="5">
        <v>925704</v>
      </c>
      <c r="G73" s="5">
        <v>43943</v>
      </c>
      <c r="H73" s="5">
        <f t="shared" si="35"/>
        <v>4.4290615574740952</v>
      </c>
      <c r="I73" s="6">
        <v>3.6</v>
      </c>
      <c r="J73" s="5">
        <v>6.6000000000000005</v>
      </c>
      <c r="K73">
        <f t="shared" ref="K73" si="54">G73*$V$2/$R$7</f>
        <v>59171.588434775527</v>
      </c>
      <c r="L73" s="10">
        <v>113</v>
      </c>
      <c r="M73" s="8">
        <f t="shared" si="48"/>
        <v>12.206925755965189</v>
      </c>
      <c r="N73">
        <v>0.49180327868852458</v>
      </c>
      <c r="O73">
        <v>0.45129999999999998</v>
      </c>
      <c r="P73" s="14">
        <v>441.81039113972503</v>
      </c>
    </row>
    <row r="74" spans="1:16" x14ac:dyDescent="0.35">
      <c r="A74" s="5">
        <v>2014</v>
      </c>
      <c r="B74" s="5">
        <v>10</v>
      </c>
      <c r="C74" s="5" t="s">
        <v>6</v>
      </c>
      <c r="D74" s="5" t="s">
        <v>54</v>
      </c>
      <c r="E74" s="5">
        <v>50</v>
      </c>
      <c r="F74" s="5">
        <v>935278</v>
      </c>
      <c r="G74" s="5">
        <v>45359</v>
      </c>
      <c r="H74" s="5">
        <f t="shared" si="35"/>
        <v>5.3460040757935072</v>
      </c>
      <c r="I74" s="6">
        <v>3.6</v>
      </c>
      <c r="J74" s="5">
        <v>5.6000000000000005</v>
      </c>
      <c r="K74">
        <f t="shared" ref="K74" si="55">G74*$V$2/$R$8</f>
        <v>60103.319102291171</v>
      </c>
      <c r="L74" s="10">
        <v>124</v>
      </c>
      <c r="M74" s="8">
        <f t="shared" si="48"/>
        <v>13.258090107967899</v>
      </c>
      <c r="N74">
        <v>0.46825396825396826</v>
      </c>
      <c r="O74">
        <v>0.44940000000000002</v>
      </c>
      <c r="P74" s="14">
        <v>439.88752646389298</v>
      </c>
    </row>
    <row r="75" spans="1:16" x14ac:dyDescent="0.35">
      <c r="A75" s="5">
        <v>2015</v>
      </c>
      <c r="B75" s="5">
        <v>10</v>
      </c>
      <c r="C75" s="5" t="s">
        <v>6</v>
      </c>
      <c r="D75" s="5" t="s">
        <v>54</v>
      </c>
      <c r="E75" s="5">
        <v>62</v>
      </c>
      <c r="F75" s="5">
        <v>944716</v>
      </c>
      <c r="G75" s="5">
        <v>47238</v>
      </c>
      <c r="H75" s="5">
        <f t="shared" si="35"/>
        <v>6.5628188789011732</v>
      </c>
      <c r="I75" s="6">
        <v>3.66</v>
      </c>
      <c r="J75" s="5">
        <v>4.8000000000000007</v>
      </c>
      <c r="K75">
        <f t="shared" ref="K75" si="56">G75*$V$2/$R$9</f>
        <v>62518.895193171804</v>
      </c>
      <c r="L75" s="10">
        <v>133</v>
      </c>
      <c r="M75" s="8">
        <f t="shared" si="48"/>
        <v>14.078305014417031</v>
      </c>
      <c r="N75">
        <v>0.45081967213114754</v>
      </c>
      <c r="O75">
        <v>0.45229999999999998</v>
      </c>
      <c r="P75" s="14">
        <v>441.64170919981399</v>
      </c>
    </row>
    <row r="76" spans="1:16" x14ac:dyDescent="0.35">
      <c r="A76" s="5">
        <v>2016</v>
      </c>
      <c r="B76" s="5">
        <v>10</v>
      </c>
      <c r="C76" s="5" t="s">
        <v>6</v>
      </c>
      <c r="D76" s="5" t="s">
        <v>54</v>
      </c>
      <c r="E76" s="5">
        <v>58</v>
      </c>
      <c r="F76" s="5">
        <v>953146</v>
      </c>
      <c r="G76" s="5">
        <v>48186</v>
      </c>
      <c r="H76" s="5">
        <f t="shared" si="35"/>
        <v>6.0851118296672277</v>
      </c>
      <c r="I76" s="6">
        <v>3.73</v>
      </c>
      <c r="J76" s="5">
        <v>4.5</v>
      </c>
      <c r="K76">
        <f t="shared" ref="K76" si="57">G76*$V$2/$R$10</f>
        <v>62979.072085397514</v>
      </c>
      <c r="L76" s="10">
        <v>154</v>
      </c>
      <c r="M76" s="8">
        <f t="shared" si="48"/>
        <v>16.157021064978505</v>
      </c>
      <c r="N76">
        <v>0.54621848739495793</v>
      </c>
      <c r="O76">
        <v>0.45219999999999999</v>
      </c>
      <c r="P76" s="14">
        <v>427.07331564477101</v>
      </c>
    </row>
    <row r="77" spans="1:16" x14ac:dyDescent="0.35">
      <c r="A77" s="5">
        <v>2017</v>
      </c>
      <c r="B77" s="5">
        <v>10</v>
      </c>
      <c r="C77" s="5" t="s">
        <v>6</v>
      </c>
      <c r="D77" s="5" t="s">
        <v>54</v>
      </c>
      <c r="E77" s="5">
        <v>51</v>
      </c>
      <c r="F77" s="5">
        <v>961604</v>
      </c>
      <c r="G77" s="5">
        <v>49997</v>
      </c>
      <c r="H77" s="5">
        <f t="shared" si="35"/>
        <v>5.3036385039995677</v>
      </c>
      <c r="I77" s="6">
        <v>3.62</v>
      </c>
      <c r="J77" s="5">
        <v>4.5</v>
      </c>
      <c r="K77">
        <f t="shared" ref="K77" si="58">G77*$V$2/$R$11</f>
        <v>63982.983571312012</v>
      </c>
      <c r="L77" s="10">
        <v>250</v>
      </c>
      <c r="M77" s="8">
        <f t="shared" si="48"/>
        <v>25.998227960782195</v>
      </c>
      <c r="N77">
        <v>0.44642857142857145</v>
      </c>
      <c r="O77">
        <v>0.48110000000000003</v>
      </c>
      <c r="P77" s="14">
        <v>422.495111068624</v>
      </c>
    </row>
    <row r="78" spans="1:16" x14ac:dyDescent="0.35">
      <c r="A78" s="5">
        <v>2018</v>
      </c>
      <c r="B78" s="5">
        <v>10</v>
      </c>
      <c r="C78" s="5" t="s">
        <v>6</v>
      </c>
      <c r="D78" s="5" t="s">
        <v>54</v>
      </c>
      <c r="E78" s="5">
        <v>46</v>
      </c>
      <c r="F78" s="5">
        <v>971152</v>
      </c>
      <c r="G78" s="5">
        <v>52670</v>
      </c>
      <c r="H78" s="5">
        <f t="shared" si="35"/>
        <v>4.7366426676771507</v>
      </c>
      <c r="I78" s="6">
        <v>3.52</v>
      </c>
      <c r="J78" s="5">
        <v>3.7</v>
      </c>
      <c r="K78">
        <f t="shared" ref="K78" si="59">G78*$V$2/$R$12</f>
        <v>65796.65094959519</v>
      </c>
      <c r="L78" s="10">
        <v>355</v>
      </c>
      <c r="M78" s="8">
        <f t="shared" si="48"/>
        <v>36.554524935334534</v>
      </c>
      <c r="N78">
        <v>0.51327433628318586</v>
      </c>
      <c r="O78">
        <v>0.4587</v>
      </c>
      <c r="P78" s="14">
        <v>410.86074552924703</v>
      </c>
    </row>
    <row r="79" spans="1:16" x14ac:dyDescent="0.35">
      <c r="A79" s="5">
        <v>2008</v>
      </c>
      <c r="B79" s="5">
        <v>12</v>
      </c>
      <c r="C79" s="5" t="s">
        <v>7</v>
      </c>
      <c r="D79" s="5" t="s">
        <v>55</v>
      </c>
      <c r="E79" s="5">
        <v>1168</v>
      </c>
      <c r="F79" s="5">
        <v>18527305</v>
      </c>
      <c r="G79" s="5">
        <v>39185</v>
      </c>
      <c r="H79" s="5">
        <f t="shared" si="35"/>
        <v>6.3042088420307216</v>
      </c>
      <c r="I79" s="6">
        <v>2.61</v>
      </c>
      <c r="J79" s="5">
        <v>5.7</v>
      </c>
      <c r="K79">
        <f t="shared" ref="K79" si="60">G79*$V$2/$R$2</f>
        <v>57091.185283066196</v>
      </c>
      <c r="L79" s="10">
        <v>1478</v>
      </c>
      <c r="M79" s="8">
        <f t="shared" si="48"/>
        <v>7.9774149559258616</v>
      </c>
      <c r="N79">
        <v>0.50985401459854018</v>
      </c>
      <c r="O79">
        <v>0.47099999999999997</v>
      </c>
      <c r="P79" s="14">
        <v>555.74</v>
      </c>
    </row>
    <row r="80" spans="1:16" x14ac:dyDescent="0.35">
      <c r="A80" s="5">
        <v>2009</v>
      </c>
      <c r="B80" s="5">
        <v>12</v>
      </c>
      <c r="C80" s="5" t="s">
        <v>7</v>
      </c>
      <c r="D80" s="5" t="s">
        <v>55</v>
      </c>
      <c r="E80" s="5">
        <v>1017</v>
      </c>
      <c r="F80" s="5">
        <v>18652644</v>
      </c>
      <c r="G80" s="5">
        <v>36777</v>
      </c>
      <c r="H80" s="5">
        <f t="shared" si="35"/>
        <v>5.4523101389808328</v>
      </c>
      <c r="I80" s="6">
        <v>2.58</v>
      </c>
      <c r="J80" s="5">
        <v>9.6000000000000014</v>
      </c>
      <c r="K80">
        <f t="shared" ref="K80" si="61">G80*$V$2/$R$3</f>
        <v>53774.129185175516</v>
      </c>
      <c r="L80" s="10">
        <v>1590</v>
      </c>
      <c r="M80" s="8">
        <f t="shared" si="48"/>
        <v>8.5242606892620696</v>
      </c>
      <c r="N80">
        <v>0.51504548635409375</v>
      </c>
      <c r="O80">
        <v>0.46899999999999997</v>
      </c>
      <c r="P80" s="14">
        <v>560.54999999999995</v>
      </c>
    </row>
    <row r="81" spans="1:16" x14ac:dyDescent="0.35">
      <c r="A81" s="5">
        <v>2010</v>
      </c>
      <c r="B81" s="5">
        <v>12</v>
      </c>
      <c r="C81" s="5" t="s">
        <v>7</v>
      </c>
      <c r="D81" s="5" t="s">
        <v>55</v>
      </c>
      <c r="E81" s="5">
        <v>987</v>
      </c>
      <c r="F81" s="5">
        <v>18842405</v>
      </c>
      <c r="G81" s="5">
        <v>38779</v>
      </c>
      <c r="H81" s="5">
        <f t="shared" si="35"/>
        <v>5.2381848283167676</v>
      </c>
      <c r="I81" s="6">
        <v>2.5099999999999998</v>
      </c>
      <c r="J81" s="5">
        <v>10.8</v>
      </c>
      <c r="K81">
        <f t="shared" ref="K81" si="62">G81*$V$2/$R$4</f>
        <v>55786.338055361928</v>
      </c>
      <c r="L81" s="10">
        <v>1674</v>
      </c>
      <c r="M81" s="8">
        <f t="shared" si="48"/>
        <v>8.8842162133761597</v>
      </c>
      <c r="N81">
        <v>0.52133381140193613</v>
      </c>
      <c r="O81">
        <v>0.47399999999999998</v>
      </c>
      <c r="P81" s="14">
        <v>553.67999999999995</v>
      </c>
    </row>
    <row r="82" spans="1:16" x14ac:dyDescent="0.35">
      <c r="A82" s="5">
        <v>2011</v>
      </c>
      <c r="B82" s="5">
        <v>12</v>
      </c>
      <c r="C82" s="5" t="s">
        <v>7</v>
      </c>
      <c r="D82" s="5" t="s">
        <v>55</v>
      </c>
      <c r="E82" s="5">
        <v>984</v>
      </c>
      <c r="F82" s="5">
        <v>19036879</v>
      </c>
      <c r="G82" s="5">
        <v>40437</v>
      </c>
      <c r="H82" s="5">
        <f t="shared" si="35"/>
        <v>5.1689145053661365</v>
      </c>
      <c r="I82" s="6">
        <v>2.54</v>
      </c>
      <c r="J82" s="5">
        <v>10</v>
      </c>
      <c r="K82">
        <f t="shared" ref="K82" si="63">G82*$V$2/$R$5</f>
        <v>56391.475435562534</v>
      </c>
      <c r="L82" s="10">
        <v>1576</v>
      </c>
      <c r="M82" s="8">
        <f t="shared" si="48"/>
        <v>8.2786679476189349</v>
      </c>
      <c r="N82">
        <v>0.51736111111111116</v>
      </c>
      <c r="O82">
        <v>0.48110000000000003</v>
      </c>
      <c r="P82" s="14">
        <v>536.586219259995</v>
      </c>
    </row>
    <row r="83" spans="1:16" x14ac:dyDescent="0.35">
      <c r="A83" s="5">
        <v>2012</v>
      </c>
      <c r="B83" s="5">
        <v>12</v>
      </c>
      <c r="C83" s="5" t="s">
        <v>7</v>
      </c>
      <c r="D83" s="5" t="s">
        <v>55</v>
      </c>
      <c r="E83" s="5">
        <v>1009</v>
      </c>
      <c r="F83" s="5">
        <v>19268256</v>
      </c>
      <c r="G83" s="5">
        <v>41211</v>
      </c>
      <c r="H83" s="5">
        <f t="shared" si="35"/>
        <v>5.2365922478920766</v>
      </c>
      <c r="I83" s="6">
        <v>2.72</v>
      </c>
      <c r="J83" s="5">
        <v>8.6</v>
      </c>
      <c r="K83">
        <f t="shared" ref="K83" si="64">G83*$V$2/$R$6</f>
        <v>56305.641170936527</v>
      </c>
      <c r="L83" s="10">
        <v>1326</v>
      </c>
      <c r="M83" s="8">
        <f t="shared" si="48"/>
        <v>6.8817852534240771</v>
      </c>
      <c r="N83">
        <v>0.51632245169886737</v>
      </c>
      <c r="O83">
        <v>0.48280000000000001</v>
      </c>
      <c r="P83" s="14">
        <v>524.45524032043602</v>
      </c>
    </row>
    <row r="84" spans="1:16" x14ac:dyDescent="0.35">
      <c r="A84" s="5">
        <v>2013</v>
      </c>
      <c r="B84" s="5">
        <v>12</v>
      </c>
      <c r="C84" s="5" t="s">
        <v>7</v>
      </c>
      <c r="D84" s="5" t="s">
        <v>55</v>
      </c>
      <c r="E84" s="5">
        <v>972</v>
      </c>
      <c r="F84" s="5">
        <v>19502928</v>
      </c>
      <c r="G84" s="5">
        <v>40743</v>
      </c>
      <c r="H84" s="5">
        <f t="shared" si="35"/>
        <v>4.9838670378109384</v>
      </c>
      <c r="I84" s="6">
        <v>2.72</v>
      </c>
      <c r="J84" s="5">
        <v>7.5</v>
      </c>
      <c r="K84">
        <f t="shared" ref="K84" si="65">G84*$V$2/$R$7</f>
        <v>54862.61810977992</v>
      </c>
      <c r="L84" s="10">
        <v>1268</v>
      </c>
      <c r="M84" s="8">
        <f t="shared" si="48"/>
        <v>6.5015878641401947</v>
      </c>
      <c r="N84">
        <v>0.5348360655737705</v>
      </c>
      <c r="O84">
        <v>0.48430000000000001</v>
      </c>
      <c r="P84" s="14">
        <v>521.57841612650702</v>
      </c>
    </row>
    <row r="85" spans="1:16" x14ac:dyDescent="0.35">
      <c r="A85" s="5">
        <v>2014</v>
      </c>
      <c r="B85" s="5">
        <v>12</v>
      </c>
      <c r="C85" s="5" t="s">
        <v>7</v>
      </c>
      <c r="D85" s="5" t="s">
        <v>55</v>
      </c>
      <c r="E85" s="5">
        <v>982</v>
      </c>
      <c r="F85" s="5">
        <v>19790139</v>
      </c>
      <c r="G85" s="5">
        <v>42877</v>
      </c>
      <c r="H85" s="5">
        <f t="shared" si="35"/>
        <v>4.9620672194369124</v>
      </c>
      <c r="I85" s="6">
        <v>2.59</v>
      </c>
      <c r="J85" s="5">
        <v>6.4</v>
      </c>
      <c r="K85">
        <f t="shared" ref="K85" si="66">G85*$V$2/$R$8</f>
        <v>56814.524419606656</v>
      </c>
      <c r="L85" s="10">
        <v>1399</v>
      </c>
      <c r="M85" s="8">
        <f t="shared" si="48"/>
        <v>7.069177230134664</v>
      </c>
      <c r="N85">
        <v>0.50675453047775942</v>
      </c>
      <c r="O85">
        <v>0.4834</v>
      </c>
      <c r="P85" s="14">
        <v>511.83323918792701</v>
      </c>
    </row>
    <row r="86" spans="1:16" x14ac:dyDescent="0.35">
      <c r="A86" s="5">
        <v>2015</v>
      </c>
      <c r="B86" s="5">
        <v>12</v>
      </c>
      <c r="C86" s="5" t="s">
        <v>7</v>
      </c>
      <c r="D86" s="5" t="s">
        <v>55</v>
      </c>
      <c r="E86" s="5">
        <v>1041</v>
      </c>
      <c r="F86" s="5">
        <v>20140379</v>
      </c>
      <c r="G86" s="5">
        <v>44957</v>
      </c>
      <c r="H86" s="5">
        <f t="shared" si="35"/>
        <v>5.1687210056970629</v>
      </c>
      <c r="I86" s="6">
        <v>2.61</v>
      </c>
      <c r="J86" s="5">
        <v>5.5</v>
      </c>
      <c r="K86">
        <f t="shared" ref="K86" si="67">G86*$V$2/$R$9</f>
        <v>59500.020559706696</v>
      </c>
      <c r="L86" s="10">
        <v>1838</v>
      </c>
      <c r="M86" s="8">
        <f t="shared" si="48"/>
        <v>9.1259454452172921</v>
      </c>
      <c r="N86">
        <v>0.50858034321372858</v>
      </c>
      <c r="O86">
        <v>0.48720000000000002</v>
      </c>
      <c r="P86" s="14">
        <v>496.34999917784</v>
      </c>
    </row>
    <row r="87" spans="1:16" x14ac:dyDescent="0.35">
      <c r="A87" s="5">
        <v>2016</v>
      </c>
      <c r="B87" s="5">
        <v>12</v>
      </c>
      <c r="C87" s="5" t="s">
        <v>7</v>
      </c>
      <c r="D87" s="5" t="s">
        <v>55</v>
      </c>
      <c r="E87" s="5">
        <v>1111</v>
      </c>
      <c r="F87" s="5">
        <v>20533473</v>
      </c>
      <c r="G87" s="5">
        <v>45730</v>
      </c>
      <c r="H87" s="5">
        <f t="shared" si="35"/>
        <v>5.4106774825671238</v>
      </c>
      <c r="I87" s="6">
        <v>2.65</v>
      </c>
      <c r="J87" s="5">
        <v>4.9000000000000004</v>
      </c>
      <c r="K87">
        <f t="shared" ref="K87" si="68">G87*$V$2/$R$10</f>
        <v>59769.081610119705</v>
      </c>
      <c r="L87" s="10">
        <v>2798</v>
      </c>
      <c r="M87" s="8">
        <f t="shared" si="48"/>
        <v>13.626530689669499</v>
      </c>
      <c r="N87">
        <v>0.53197581928094173</v>
      </c>
      <c r="O87">
        <v>0.48520000000000002</v>
      </c>
      <c r="P87" s="14">
        <v>479.97641742690701</v>
      </c>
    </row>
    <row r="88" spans="1:16" x14ac:dyDescent="0.35">
      <c r="A88" s="5">
        <v>2017</v>
      </c>
      <c r="B88" s="5">
        <v>12</v>
      </c>
      <c r="C88" s="5" t="s">
        <v>7</v>
      </c>
      <c r="D88" s="5" t="s">
        <v>55</v>
      </c>
      <c r="E88" s="5">
        <v>1057</v>
      </c>
      <c r="F88" s="5">
        <v>20868335</v>
      </c>
      <c r="G88" s="5">
        <v>48447</v>
      </c>
      <c r="H88" s="5">
        <f t="shared" si="35"/>
        <v>5.0650902431842315</v>
      </c>
      <c r="I88" s="6">
        <v>2.63</v>
      </c>
      <c r="J88" s="5">
        <v>4.3</v>
      </c>
      <c r="K88">
        <f t="shared" ref="K88" si="69">G88*$V$2/$R$11</f>
        <v>61999.392065110966</v>
      </c>
      <c r="L88" s="10">
        <v>3245</v>
      </c>
      <c r="M88" s="8">
        <f t="shared" si="48"/>
        <v>15.54987496606701</v>
      </c>
      <c r="N88">
        <v>0.53393244499535175</v>
      </c>
      <c r="O88">
        <v>0.4859</v>
      </c>
      <c r="P88" s="14">
        <v>465.86801686288601</v>
      </c>
    </row>
    <row r="89" spans="1:16" x14ac:dyDescent="0.35">
      <c r="A89" s="5">
        <v>2018</v>
      </c>
      <c r="B89" s="5">
        <v>12</v>
      </c>
      <c r="C89" s="5" t="s">
        <v>7</v>
      </c>
      <c r="D89" s="5" t="s">
        <v>55</v>
      </c>
      <c r="E89" s="5">
        <v>1107</v>
      </c>
      <c r="F89" s="5">
        <v>21131181</v>
      </c>
      <c r="G89" s="5">
        <v>51015</v>
      </c>
      <c r="H89" s="5">
        <f t="shared" si="35"/>
        <v>5.2387038850313195</v>
      </c>
      <c r="I89" s="6">
        <v>2.61</v>
      </c>
      <c r="J89" s="5">
        <v>3.6</v>
      </c>
      <c r="K89">
        <f t="shared" ref="K89" si="70">G89*$V$2/$R$12</f>
        <v>63729.18451098536</v>
      </c>
      <c r="L89" s="10">
        <v>3189</v>
      </c>
      <c r="M89" s="8">
        <f t="shared" si="48"/>
        <v>15.091442357149845</v>
      </c>
      <c r="N89">
        <v>0.52396972245584528</v>
      </c>
      <c r="O89">
        <v>0.48870000000000002</v>
      </c>
      <c r="P89" s="14">
        <v>456.46139880816798</v>
      </c>
    </row>
    <row r="90" spans="1:16" x14ac:dyDescent="0.35">
      <c r="A90" s="5">
        <v>2008</v>
      </c>
      <c r="B90" s="5">
        <v>13</v>
      </c>
      <c r="C90" s="5" t="s">
        <v>8</v>
      </c>
      <c r="D90" s="5" t="s">
        <v>56</v>
      </c>
      <c r="E90" s="5">
        <v>640</v>
      </c>
      <c r="F90" s="5">
        <v>9504843</v>
      </c>
      <c r="G90" s="5">
        <v>35272</v>
      </c>
      <c r="H90" s="5">
        <f t="shared" si="35"/>
        <v>6.7334094839862164</v>
      </c>
      <c r="I90" s="6">
        <v>2.06</v>
      </c>
      <c r="J90" s="5">
        <v>6.8000000000000007</v>
      </c>
      <c r="K90">
        <f t="shared" ref="K90" si="71">G90*$V$2/$R$2</f>
        <v>51390.08006390994</v>
      </c>
      <c r="L90" s="10">
        <v>404</v>
      </c>
      <c r="M90" s="8">
        <f t="shared" si="48"/>
        <v>4.2504647367662987</v>
      </c>
      <c r="N90">
        <v>0.62793068297655452</v>
      </c>
      <c r="O90">
        <v>0.46700000000000003</v>
      </c>
      <c r="P90" s="14">
        <v>543.47</v>
      </c>
    </row>
    <row r="91" spans="1:16" x14ac:dyDescent="0.35">
      <c r="A91" s="5">
        <v>2009</v>
      </c>
      <c r="B91" s="5">
        <v>13</v>
      </c>
      <c r="C91" s="5" t="s">
        <v>8</v>
      </c>
      <c r="D91" s="5" t="s">
        <v>56</v>
      </c>
      <c r="E91" s="5">
        <v>566</v>
      </c>
      <c r="F91" s="5">
        <v>9620846</v>
      </c>
      <c r="G91" s="5">
        <v>34213</v>
      </c>
      <c r="H91" s="5">
        <f t="shared" si="35"/>
        <v>5.8830585168913414</v>
      </c>
      <c r="I91" s="6">
        <v>2.0099999999999998</v>
      </c>
      <c r="J91" s="5">
        <v>10.4</v>
      </c>
      <c r="K91">
        <f t="shared" ref="K91" si="72">G91*$V$2/$R$3</f>
        <v>50025.132061136312</v>
      </c>
      <c r="L91" s="10">
        <v>490</v>
      </c>
      <c r="M91" s="8">
        <f t="shared" si="48"/>
        <v>5.0931071966020456</v>
      </c>
      <c r="N91">
        <v>0.65520282186948853</v>
      </c>
      <c r="O91">
        <v>0.46899999999999997</v>
      </c>
      <c r="P91" s="14">
        <v>564.80999999999995</v>
      </c>
    </row>
    <row r="92" spans="1:16" x14ac:dyDescent="0.35">
      <c r="A92" s="5">
        <v>2010</v>
      </c>
      <c r="B92" s="5">
        <v>13</v>
      </c>
      <c r="C92" s="5" t="s">
        <v>8</v>
      </c>
      <c r="D92" s="5" t="s">
        <v>56</v>
      </c>
      <c r="E92" s="5">
        <v>555</v>
      </c>
      <c r="F92" s="5">
        <v>9712616</v>
      </c>
      <c r="G92" s="5">
        <v>34740</v>
      </c>
      <c r="H92" s="5">
        <f t="shared" si="35"/>
        <v>5.714217467261137</v>
      </c>
      <c r="I92" s="6">
        <v>1.98</v>
      </c>
      <c r="J92" s="5">
        <v>10.700000000000001</v>
      </c>
      <c r="K92">
        <f t="shared" ref="K92" si="73">G92*$V$2/$R$4</f>
        <v>49975.950489782444</v>
      </c>
      <c r="L92" s="10">
        <v>534</v>
      </c>
      <c r="M92" s="8">
        <f t="shared" si="48"/>
        <v>5.4980038333647707</v>
      </c>
      <c r="N92">
        <v>0.63371579876434248</v>
      </c>
      <c r="O92">
        <v>0.46800000000000003</v>
      </c>
      <c r="P92" s="14">
        <v>563.05999999999995</v>
      </c>
    </row>
    <row r="93" spans="1:16" x14ac:dyDescent="0.35">
      <c r="A93" s="5">
        <v>2011</v>
      </c>
      <c r="B93" s="5">
        <v>13</v>
      </c>
      <c r="C93" s="5" t="s">
        <v>8</v>
      </c>
      <c r="D93" s="5" t="s">
        <v>56</v>
      </c>
      <c r="E93" s="5">
        <v>549</v>
      </c>
      <c r="F93" s="5">
        <v>9805666</v>
      </c>
      <c r="G93" s="5">
        <v>36760</v>
      </c>
      <c r="H93" s="5">
        <f t="shared" si="35"/>
        <v>5.5988037936433894</v>
      </c>
      <c r="I93" s="6">
        <v>1.98</v>
      </c>
      <c r="J93" s="5">
        <v>10.100000000000001</v>
      </c>
      <c r="K93">
        <f t="shared" ref="K93" si="74">G93*$V$2/$R$5</f>
        <v>51263.709894682564</v>
      </c>
      <c r="L93" s="10">
        <v>535</v>
      </c>
      <c r="M93" s="8">
        <f t="shared" si="48"/>
        <v>5.4560291978127751</v>
      </c>
      <c r="N93">
        <v>0.64131374243733796</v>
      </c>
      <c r="O93">
        <v>0.47699999999999998</v>
      </c>
      <c r="P93" s="14">
        <v>546.76378264267396</v>
      </c>
    </row>
    <row r="94" spans="1:16" x14ac:dyDescent="0.35">
      <c r="A94" s="5">
        <v>2012</v>
      </c>
      <c r="B94" s="5">
        <v>13</v>
      </c>
      <c r="C94" s="5" t="s">
        <v>8</v>
      </c>
      <c r="D94" s="5" t="s">
        <v>56</v>
      </c>
      <c r="E94" s="5">
        <v>583</v>
      </c>
      <c r="F94" s="5">
        <v>9907250</v>
      </c>
      <c r="G94" s="5">
        <v>37250</v>
      </c>
      <c r="H94" s="5">
        <f t="shared" si="35"/>
        <v>5.8845794746271674</v>
      </c>
      <c r="I94" s="6">
        <v>1.99</v>
      </c>
      <c r="J94" s="5">
        <v>9</v>
      </c>
      <c r="K94">
        <f t="shared" ref="K94" si="75">G94*$V$2/$R$6</f>
        <v>50893.818000470397</v>
      </c>
      <c r="L94" s="10">
        <v>536</v>
      </c>
      <c r="M94" s="8">
        <f t="shared" si="48"/>
        <v>5.4101794140654569</v>
      </c>
      <c r="N94">
        <v>0.64212328767123283</v>
      </c>
      <c r="O94">
        <v>0.48089999999999999</v>
      </c>
      <c r="P94" s="14">
        <v>542.01129660365996</v>
      </c>
    </row>
    <row r="95" spans="1:16" x14ac:dyDescent="0.35">
      <c r="A95" s="5">
        <v>2013</v>
      </c>
      <c r="B95" s="5">
        <v>13</v>
      </c>
      <c r="C95" s="5" t="s">
        <v>8</v>
      </c>
      <c r="D95" s="5" t="s">
        <v>56</v>
      </c>
      <c r="E95" s="5">
        <v>563</v>
      </c>
      <c r="F95" s="5">
        <v>9980892</v>
      </c>
      <c r="G95" s="5">
        <v>37484</v>
      </c>
      <c r="H95" s="5">
        <f t="shared" si="35"/>
        <v>5.6407783993655078</v>
      </c>
      <c r="I95" s="6">
        <v>1.98</v>
      </c>
      <c r="J95" s="5">
        <v>8.1</v>
      </c>
      <c r="K95">
        <f t="shared" ref="K95" si="76">G95*$V$2/$R$7</f>
        <v>50474.201144417217</v>
      </c>
      <c r="L95" s="10">
        <v>530</v>
      </c>
      <c r="M95" s="8">
        <f t="shared" si="48"/>
        <v>5.3101466281771206</v>
      </c>
      <c r="N95">
        <v>0.61633663366336633</v>
      </c>
      <c r="O95">
        <v>0.48370000000000002</v>
      </c>
      <c r="P95" s="14">
        <v>532.20471460649105</v>
      </c>
    </row>
    <row r="96" spans="1:16" x14ac:dyDescent="0.35">
      <c r="A96" s="5">
        <v>2014</v>
      </c>
      <c r="B96" s="5">
        <v>13</v>
      </c>
      <c r="C96" s="5" t="s">
        <v>8</v>
      </c>
      <c r="D96" s="5" t="s">
        <v>56</v>
      </c>
      <c r="E96" s="5">
        <v>607</v>
      </c>
      <c r="F96" s="5">
        <v>10078133</v>
      </c>
      <c r="G96" s="5">
        <v>39550</v>
      </c>
      <c r="H96" s="5">
        <f t="shared" si="35"/>
        <v>6.0229409554329161</v>
      </c>
      <c r="I96" s="6">
        <v>1.97</v>
      </c>
      <c r="J96" s="5">
        <v>7.1000000000000005</v>
      </c>
      <c r="K96">
        <f t="shared" ref="K96" si="77">G96*$V$2/$R$8</f>
        <v>52406.055479521499</v>
      </c>
      <c r="L96" s="10">
        <v>710</v>
      </c>
      <c r="M96" s="8">
        <f t="shared" si="48"/>
        <v>7.0449556480352067</v>
      </c>
      <c r="N96">
        <v>0.64942084942084943</v>
      </c>
      <c r="O96">
        <v>0.48010000000000003</v>
      </c>
      <c r="P96" s="14">
        <v>516.59969621162202</v>
      </c>
    </row>
    <row r="97" spans="1:16" x14ac:dyDescent="0.35">
      <c r="A97" s="5">
        <v>2015</v>
      </c>
      <c r="B97" s="5">
        <v>13</v>
      </c>
      <c r="C97" s="5" t="s">
        <v>8</v>
      </c>
      <c r="D97" s="5" t="s">
        <v>56</v>
      </c>
      <c r="E97" s="5">
        <v>622</v>
      </c>
      <c r="F97" s="5">
        <v>10191912</v>
      </c>
      <c r="G97" s="5">
        <v>41527</v>
      </c>
      <c r="H97" s="5">
        <f t="shared" si="35"/>
        <v>6.1028784392957869</v>
      </c>
      <c r="I97" s="6">
        <v>1.95</v>
      </c>
      <c r="J97" s="5">
        <v>6.1000000000000005</v>
      </c>
      <c r="K97">
        <f t="shared" ref="K97" si="78">G97*$V$2/$R$9</f>
        <v>54960.45896707831</v>
      </c>
      <c r="L97" s="10">
        <v>858</v>
      </c>
      <c r="M97" s="8">
        <f t="shared" si="48"/>
        <v>8.4184400336266645</v>
      </c>
      <c r="N97">
        <v>0.62490508731966588</v>
      </c>
      <c r="O97">
        <v>0.48010000000000003</v>
      </c>
      <c r="P97" s="14">
        <v>504.084743958101</v>
      </c>
    </row>
    <row r="98" spans="1:16" x14ac:dyDescent="0.35">
      <c r="A98" s="5">
        <v>2016</v>
      </c>
      <c r="B98" s="5">
        <v>13</v>
      </c>
      <c r="C98" s="5" t="s">
        <v>8</v>
      </c>
      <c r="D98" s="5" t="s">
        <v>56</v>
      </c>
      <c r="E98" s="5">
        <v>682</v>
      </c>
      <c r="F98" s="5">
        <v>10318636</v>
      </c>
      <c r="G98" s="5">
        <v>42742</v>
      </c>
      <c r="H98" s="5">
        <f t="shared" si="35"/>
        <v>6.6094006998599424</v>
      </c>
      <c r="I98" s="6">
        <v>1.95</v>
      </c>
      <c r="J98" s="5">
        <v>5.4</v>
      </c>
      <c r="K98">
        <f t="shared" ref="K98" si="79">G98*$V$2/$R$10</f>
        <v>55863.767465115605</v>
      </c>
      <c r="L98" s="10">
        <v>918</v>
      </c>
      <c r="M98" s="8">
        <f t="shared" si="48"/>
        <v>8.8965246957059048</v>
      </c>
      <c r="N98">
        <v>0.61816891412349184</v>
      </c>
      <c r="O98">
        <v>0.48130000000000001</v>
      </c>
      <c r="P98" s="14">
        <v>511.49815345349498</v>
      </c>
    </row>
    <row r="99" spans="1:16" x14ac:dyDescent="0.35">
      <c r="A99" s="5">
        <v>2017</v>
      </c>
      <c r="B99" s="5">
        <v>13</v>
      </c>
      <c r="C99" s="5" t="s">
        <v>8</v>
      </c>
      <c r="D99" s="5" t="s">
        <v>56</v>
      </c>
      <c r="E99" s="5">
        <v>681</v>
      </c>
      <c r="F99" s="5">
        <v>10428854</v>
      </c>
      <c r="G99" s="5">
        <v>44836</v>
      </c>
      <c r="H99" s="5">
        <f t="shared" si="35"/>
        <v>6.5299600512194349</v>
      </c>
      <c r="I99" s="6">
        <v>1.93</v>
      </c>
      <c r="J99" s="5">
        <v>4.8000000000000007</v>
      </c>
      <c r="K99">
        <f t="shared" ref="K99" si="80">G99*$V$2/$R$11</f>
        <v>57378.263723890341</v>
      </c>
      <c r="L99" s="10">
        <v>1014</v>
      </c>
      <c r="M99" s="8">
        <f t="shared" si="48"/>
        <v>9.7230242172342241</v>
      </c>
      <c r="N99">
        <v>0.62577532736044106</v>
      </c>
      <c r="O99">
        <v>0.48299999999999998</v>
      </c>
      <c r="P99" s="14">
        <v>507.20571436104598</v>
      </c>
    </row>
    <row r="100" spans="1:16" x14ac:dyDescent="0.35">
      <c r="A100" s="5">
        <v>2018</v>
      </c>
      <c r="B100" s="5">
        <v>13</v>
      </c>
      <c r="C100" s="5" t="s">
        <v>8</v>
      </c>
      <c r="D100" s="5" t="s">
        <v>56</v>
      </c>
      <c r="E100" s="5">
        <v>647</v>
      </c>
      <c r="F100" s="5">
        <v>10532841</v>
      </c>
      <c r="G100" s="5">
        <v>46624</v>
      </c>
      <c r="H100" s="5">
        <f t="shared" si="35"/>
        <v>6.1426921758336617</v>
      </c>
      <c r="I100" s="6">
        <v>1.9</v>
      </c>
      <c r="J100" s="5">
        <v>4</v>
      </c>
      <c r="K100">
        <f t="shared" ref="K100" si="81">G100*$V$2/$R$12</f>
        <v>58243.840020389718</v>
      </c>
      <c r="L100" s="10">
        <v>866</v>
      </c>
      <c r="M100" s="8">
        <f t="shared" si="48"/>
        <v>8.2219032832642203</v>
      </c>
      <c r="N100">
        <v>0.62906309751434031</v>
      </c>
      <c r="O100">
        <v>0.48220000000000002</v>
      </c>
      <c r="P100" s="14">
        <v>501.72758392544802</v>
      </c>
    </row>
    <row r="101" spans="1:16" x14ac:dyDescent="0.35">
      <c r="A101" s="5">
        <v>2008</v>
      </c>
      <c r="B101" s="5">
        <v>16</v>
      </c>
      <c r="C101" s="5" t="s">
        <v>9</v>
      </c>
      <c r="D101" s="5" t="s">
        <v>57</v>
      </c>
      <c r="E101" s="5">
        <v>23</v>
      </c>
      <c r="F101" s="5">
        <v>1534320</v>
      </c>
      <c r="G101" s="5">
        <v>32690</v>
      </c>
      <c r="H101" s="5">
        <f t="shared" si="35"/>
        <v>1.499035403305699</v>
      </c>
      <c r="I101" s="6">
        <v>2.64</v>
      </c>
      <c r="J101" s="5">
        <v>5</v>
      </c>
      <c r="K101">
        <f t="shared" ref="K101" si="82">G101*$V$2/$R$2</f>
        <v>47628.195659140838</v>
      </c>
      <c r="L101" s="10">
        <v>72</v>
      </c>
      <c r="M101" s="8">
        <f t="shared" si="48"/>
        <v>4.6926325668700137</v>
      </c>
      <c r="N101">
        <v>0.59126984126984128</v>
      </c>
      <c r="O101">
        <v>0.41899999999999998</v>
      </c>
      <c r="P101" s="14">
        <v>477.25</v>
      </c>
    </row>
    <row r="102" spans="1:16" x14ac:dyDescent="0.35">
      <c r="A102" s="5">
        <v>2009</v>
      </c>
      <c r="B102" s="5">
        <v>16</v>
      </c>
      <c r="C102" s="5" t="s">
        <v>9</v>
      </c>
      <c r="D102" s="5" t="s">
        <v>57</v>
      </c>
      <c r="E102" s="5">
        <v>24</v>
      </c>
      <c r="F102" s="5">
        <v>1554439</v>
      </c>
      <c r="G102" s="5">
        <v>31200</v>
      </c>
      <c r="H102" s="5">
        <f t="shared" si="35"/>
        <v>1.5439653791496482</v>
      </c>
      <c r="I102" s="6">
        <v>2.67</v>
      </c>
      <c r="J102" s="5">
        <v>8.7000000000000011</v>
      </c>
      <c r="K102">
        <f t="shared" ref="K102" si="83">G102*$V$2/$R$3</f>
        <v>45619.621790180718</v>
      </c>
      <c r="L102" s="10">
        <v>62</v>
      </c>
      <c r="M102" s="8">
        <f t="shared" si="48"/>
        <v>3.9885772294699242</v>
      </c>
      <c r="N102">
        <v>0.57894736842105265</v>
      </c>
      <c r="O102">
        <v>0.42099999999999999</v>
      </c>
      <c r="P102" s="14">
        <v>478.72</v>
      </c>
    </row>
    <row r="103" spans="1:16" x14ac:dyDescent="0.35">
      <c r="A103" s="5">
        <v>2010</v>
      </c>
      <c r="B103" s="5">
        <v>16</v>
      </c>
      <c r="C103" s="5" t="s">
        <v>9</v>
      </c>
      <c r="D103" s="5" t="s">
        <v>57</v>
      </c>
      <c r="E103" s="5">
        <v>22</v>
      </c>
      <c r="F103" s="5">
        <v>1571339</v>
      </c>
      <c r="G103" s="5">
        <v>31948</v>
      </c>
      <c r="H103" s="5">
        <f t="shared" si="35"/>
        <v>1.4000798045488592</v>
      </c>
      <c r="I103" s="6">
        <v>2.68</v>
      </c>
      <c r="J103" s="5">
        <v>8.8000000000000007</v>
      </c>
      <c r="K103">
        <f t="shared" ref="K103" si="84">G103*$V$2/$R$4</f>
        <v>45959.460744029057</v>
      </c>
      <c r="L103" s="10">
        <v>79</v>
      </c>
      <c r="M103" s="8">
        <f t="shared" si="48"/>
        <v>5.0275592981527222</v>
      </c>
      <c r="N103">
        <v>0.62758620689655176</v>
      </c>
      <c r="O103">
        <v>0.433</v>
      </c>
      <c r="P103" s="14">
        <v>472.98</v>
      </c>
    </row>
    <row r="104" spans="1:16" x14ac:dyDescent="0.35">
      <c r="A104" s="5">
        <v>2011</v>
      </c>
      <c r="B104" s="5">
        <v>16</v>
      </c>
      <c r="C104" s="5" t="s">
        <v>9</v>
      </c>
      <c r="D104" s="5" t="s">
        <v>57</v>
      </c>
      <c r="E104" s="5">
        <v>35</v>
      </c>
      <c r="F104" s="5">
        <v>1586880</v>
      </c>
      <c r="G104" s="5">
        <v>33447</v>
      </c>
      <c r="H104" s="5">
        <f t="shared" si="35"/>
        <v>2.2055858035894333</v>
      </c>
      <c r="I104" s="6">
        <v>2.65</v>
      </c>
      <c r="J104" s="5">
        <v>8.2000000000000011</v>
      </c>
      <c r="K104">
        <f t="shared" ref="K104" si="85">G104*$V$2/$R$5</f>
        <v>46643.561067667237</v>
      </c>
      <c r="L104" s="10">
        <v>77</v>
      </c>
      <c r="M104" s="8">
        <f t="shared" si="48"/>
        <v>4.8522887678967539</v>
      </c>
      <c r="N104">
        <v>0.59430604982206403</v>
      </c>
      <c r="O104">
        <v>0.432</v>
      </c>
      <c r="P104" s="14">
        <v>486.71976413053301</v>
      </c>
    </row>
    <row r="105" spans="1:16" x14ac:dyDescent="0.35">
      <c r="A105" s="5">
        <v>2012</v>
      </c>
      <c r="B105" s="5">
        <v>16</v>
      </c>
      <c r="C105" s="5" t="s">
        <v>9</v>
      </c>
      <c r="D105" s="5" t="s">
        <v>57</v>
      </c>
      <c r="E105" s="5">
        <v>30</v>
      </c>
      <c r="F105" s="5">
        <v>1600611</v>
      </c>
      <c r="G105" s="5">
        <v>34812</v>
      </c>
      <c r="H105" s="5">
        <f t="shared" si="35"/>
        <v>1.8742842576990912</v>
      </c>
      <c r="I105" s="6">
        <v>2.77</v>
      </c>
      <c r="J105" s="5">
        <v>7.4</v>
      </c>
      <c r="K105">
        <f t="shared" ref="K105" si="86">G105*$V$2/$R$6</f>
        <v>47562.834690802025</v>
      </c>
      <c r="L105" s="10">
        <v>59</v>
      </c>
      <c r="M105" s="8">
        <f t="shared" si="48"/>
        <v>3.6860923734748789</v>
      </c>
      <c r="N105">
        <v>0.59259259259259256</v>
      </c>
      <c r="O105">
        <v>0.43020000000000003</v>
      </c>
      <c r="P105" s="14">
        <v>498.84269743644199</v>
      </c>
    </row>
    <row r="106" spans="1:16" x14ac:dyDescent="0.35">
      <c r="A106" s="5">
        <v>2013</v>
      </c>
      <c r="B106" s="5">
        <v>16</v>
      </c>
      <c r="C106" s="5" t="s">
        <v>9</v>
      </c>
      <c r="D106" s="5" t="s">
        <v>57</v>
      </c>
      <c r="E106" s="5">
        <v>29</v>
      </c>
      <c r="F106" s="5">
        <v>1618841</v>
      </c>
      <c r="G106" s="5">
        <v>35699</v>
      </c>
      <c r="H106" s="5">
        <f t="shared" si="35"/>
        <v>1.7914050854901746</v>
      </c>
      <c r="I106" s="6">
        <v>2.8099999999999898</v>
      </c>
      <c r="J106" s="5">
        <v>6.8000000000000007</v>
      </c>
      <c r="K106">
        <f t="shared" ref="K106" si="87">G106*$V$2/$R$7</f>
        <v>48070.603635005609</v>
      </c>
      <c r="L106" s="10">
        <v>77</v>
      </c>
      <c r="M106" s="8">
        <f t="shared" si="48"/>
        <v>4.7564893649221887</v>
      </c>
      <c r="N106">
        <v>0.64935064935064934</v>
      </c>
      <c r="O106">
        <v>0.43759999999999999</v>
      </c>
      <c r="P106" s="14">
        <v>507.49262805691598</v>
      </c>
    </row>
    <row r="107" spans="1:16" x14ac:dyDescent="0.35">
      <c r="A107" s="5">
        <v>2014</v>
      </c>
      <c r="B107" s="5">
        <v>16</v>
      </c>
      <c r="C107" s="5" t="s">
        <v>9</v>
      </c>
      <c r="D107" s="5" t="s">
        <v>57</v>
      </c>
      <c r="E107" s="5">
        <v>32</v>
      </c>
      <c r="F107" s="5">
        <v>1641124</v>
      </c>
      <c r="G107" s="5">
        <v>37107</v>
      </c>
      <c r="H107" s="5">
        <f t="shared" si="35"/>
        <v>1.949883128879963</v>
      </c>
      <c r="I107" s="6">
        <v>2.82</v>
      </c>
      <c r="J107" s="5">
        <v>4.4000000000000004</v>
      </c>
      <c r="K107">
        <f t="shared" ref="K107" si="88">G107*$V$2/$R$8</f>
        <v>49168.938070255484</v>
      </c>
      <c r="L107" s="10">
        <v>78</v>
      </c>
      <c r="M107" s="8">
        <f t="shared" si="48"/>
        <v>4.7528401266449096</v>
      </c>
      <c r="N107">
        <v>0.56874999999999998</v>
      </c>
      <c r="O107">
        <v>0.4541</v>
      </c>
      <c r="P107" s="14">
        <v>488.54035881797398</v>
      </c>
    </row>
    <row r="108" spans="1:16" x14ac:dyDescent="0.35">
      <c r="A108" s="5">
        <v>2015</v>
      </c>
      <c r="B108" s="5">
        <v>16</v>
      </c>
      <c r="C108" s="5" t="s">
        <v>9</v>
      </c>
      <c r="D108" s="5" t="s">
        <v>57</v>
      </c>
      <c r="E108" s="5">
        <v>32</v>
      </c>
      <c r="F108" s="5">
        <v>1663458</v>
      </c>
      <c r="G108" s="5">
        <v>38813</v>
      </c>
      <c r="H108" s="5">
        <f t="shared" si="35"/>
        <v>1.9237035140051628</v>
      </c>
      <c r="I108" s="6">
        <v>2.8699999999999899</v>
      </c>
      <c r="J108" s="5">
        <v>3.9000000000000004</v>
      </c>
      <c r="K108">
        <f t="shared" ref="K108" si="89">G108*$V$2/$R$9</f>
        <v>51368.514313319305</v>
      </c>
      <c r="L108" s="10">
        <v>90</v>
      </c>
      <c r="M108" s="8">
        <f t="shared" si="48"/>
        <v>5.4104161331395195</v>
      </c>
      <c r="N108">
        <v>0.59888579387186625</v>
      </c>
      <c r="O108">
        <v>0.45250000000000001</v>
      </c>
      <c r="P108" s="14">
        <v>434.88816091161698</v>
      </c>
    </row>
    <row r="109" spans="1:16" x14ac:dyDescent="0.35">
      <c r="A109" s="5">
        <v>2016</v>
      </c>
      <c r="B109" s="5">
        <v>16</v>
      </c>
      <c r="C109" s="5" t="s">
        <v>9</v>
      </c>
      <c r="D109" s="5" t="s">
        <v>57</v>
      </c>
      <c r="E109" s="5">
        <v>49</v>
      </c>
      <c r="F109" s="5">
        <v>1697093</v>
      </c>
      <c r="G109" s="5">
        <v>39653</v>
      </c>
      <c r="H109" s="5">
        <f t="shared" ref="H109:H172" si="90">E109/F109*100000</f>
        <v>2.8872902074311777</v>
      </c>
      <c r="I109" s="6">
        <v>2.92</v>
      </c>
      <c r="J109" s="5">
        <v>3.7</v>
      </c>
      <c r="K109">
        <f t="shared" ref="K109" si="91">G109*$V$2/$R$10</f>
        <v>51826.44638281384</v>
      </c>
      <c r="L109" s="10">
        <v>119</v>
      </c>
      <c r="M109" s="8">
        <f t="shared" si="48"/>
        <v>7.0119905037614316</v>
      </c>
      <c r="N109">
        <v>0.61253561253561251</v>
      </c>
      <c r="O109">
        <v>0.45029999999999998</v>
      </c>
      <c r="P109" s="14">
        <v>434.14871594749002</v>
      </c>
    </row>
    <row r="110" spans="1:16" x14ac:dyDescent="0.35">
      <c r="A110" s="5">
        <v>2017</v>
      </c>
      <c r="B110" s="5">
        <v>16</v>
      </c>
      <c r="C110" s="5" t="s">
        <v>9</v>
      </c>
      <c r="D110" s="5" t="s">
        <v>57</v>
      </c>
      <c r="E110" s="5">
        <v>42</v>
      </c>
      <c r="F110" s="5">
        <v>1734888</v>
      </c>
      <c r="G110" s="5">
        <v>41197</v>
      </c>
      <c r="H110" s="5">
        <f t="shared" si="90"/>
        <v>2.420905557015784</v>
      </c>
      <c r="I110" s="6">
        <v>2.9099999999999899</v>
      </c>
      <c r="J110" s="5">
        <v>3.2</v>
      </c>
      <c r="K110">
        <f t="shared" ref="K110" si="92">G110*$V$2/$R$11</f>
        <v>52721.302761912535</v>
      </c>
      <c r="L110" s="10">
        <v>103</v>
      </c>
      <c r="M110" s="8">
        <f t="shared" si="48"/>
        <v>5.936982675538709</v>
      </c>
      <c r="N110">
        <v>0.62244897959183676</v>
      </c>
      <c r="O110">
        <v>0.44779999999999998</v>
      </c>
      <c r="P110" s="14">
        <v>446.329612576454</v>
      </c>
    </row>
    <row r="111" spans="1:16" x14ac:dyDescent="0.35">
      <c r="A111" s="5">
        <v>2018</v>
      </c>
      <c r="B111" s="5">
        <v>16</v>
      </c>
      <c r="C111" s="5" t="s">
        <v>9</v>
      </c>
      <c r="D111" s="5" t="s">
        <v>57</v>
      </c>
      <c r="E111" s="5">
        <v>34</v>
      </c>
      <c r="F111" s="5">
        <v>1769305</v>
      </c>
      <c r="G111" s="5">
        <v>43254</v>
      </c>
      <c r="H111" s="5">
        <f t="shared" si="90"/>
        <v>1.9216585043279704</v>
      </c>
      <c r="I111" s="6">
        <v>2.94</v>
      </c>
      <c r="J111" s="5">
        <v>2.9000000000000004</v>
      </c>
      <c r="K111">
        <f t="shared" ref="K111" si="93">G111*$V$2/$R$12</f>
        <v>54033.95367711773</v>
      </c>
      <c r="L111" s="10">
        <v>120</v>
      </c>
      <c r="M111" s="8">
        <f t="shared" si="48"/>
        <v>6.7823241329222492</v>
      </c>
      <c r="N111">
        <v>0.59952038369304561</v>
      </c>
      <c r="O111">
        <v>0.44540000000000002</v>
      </c>
      <c r="P111" s="14">
        <v>444.49493810475798</v>
      </c>
    </row>
    <row r="112" spans="1:16" x14ac:dyDescent="0.35">
      <c r="A112" s="5">
        <v>2008</v>
      </c>
      <c r="B112" s="5">
        <v>17</v>
      </c>
      <c r="C112" s="5" t="s">
        <v>10</v>
      </c>
      <c r="D112" s="5" t="s">
        <v>58</v>
      </c>
      <c r="E112" s="5">
        <v>790</v>
      </c>
      <c r="F112" s="5">
        <v>12747038</v>
      </c>
      <c r="G112" s="5">
        <v>43238</v>
      </c>
      <c r="H112" s="5">
        <f t="shared" si="90"/>
        <v>6.1975181999143647</v>
      </c>
      <c r="I112" s="6">
        <v>2.34</v>
      </c>
      <c r="J112" s="5">
        <v>6.5</v>
      </c>
      <c r="K112">
        <f t="shared" ref="K112" si="94">G112*$V$2/$R$2</f>
        <v>62996.265644231622</v>
      </c>
      <c r="L112" s="10">
        <v>846</v>
      </c>
      <c r="M112" s="8">
        <f t="shared" si="48"/>
        <v>6.6368359457310788</v>
      </c>
      <c r="N112">
        <v>0.36560934891485808</v>
      </c>
      <c r="O112">
        <v>0.46700000000000003</v>
      </c>
      <c r="P112" s="14">
        <v>354.08</v>
      </c>
    </row>
    <row r="113" spans="1:16" x14ac:dyDescent="0.35">
      <c r="A113" s="5">
        <v>2009</v>
      </c>
      <c r="B113" s="5">
        <v>17</v>
      </c>
      <c r="C113" s="5" t="s">
        <v>10</v>
      </c>
      <c r="D113" s="5" t="s">
        <v>58</v>
      </c>
      <c r="E113" s="5">
        <v>773</v>
      </c>
      <c r="F113" s="5">
        <v>12796778</v>
      </c>
      <c r="G113" s="5">
        <v>41088</v>
      </c>
      <c r="H113" s="5">
        <f t="shared" si="90"/>
        <v>6.040583028009082</v>
      </c>
      <c r="I113" s="6">
        <v>2.36</v>
      </c>
      <c r="J113" s="5">
        <v>10.200000000000001</v>
      </c>
      <c r="K113">
        <f t="shared" ref="K113" si="95">G113*$V$2/$R$3</f>
        <v>60077.532695991838</v>
      </c>
      <c r="L113" s="10">
        <v>886</v>
      </c>
      <c r="M113" s="8">
        <f t="shared" si="48"/>
        <v>6.923617804419206</v>
      </c>
      <c r="N113">
        <v>0.34154630416312659</v>
      </c>
      <c r="O113">
        <v>0.46899999999999997</v>
      </c>
      <c r="P113" s="14">
        <v>349.8</v>
      </c>
    </row>
    <row r="114" spans="1:16" x14ac:dyDescent="0.35">
      <c r="A114" s="5">
        <v>2010</v>
      </c>
      <c r="B114" s="5">
        <v>17</v>
      </c>
      <c r="C114" s="5" t="s">
        <v>10</v>
      </c>
      <c r="D114" s="5" t="s">
        <v>58</v>
      </c>
      <c r="E114" s="5">
        <v>704</v>
      </c>
      <c r="F114" s="5">
        <v>12845460</v>
      </c>
      <c r="G114" s="5">
        <v>42107</v>
      </c>
      <c r="H114" s="5">
        <f t="shared" si="90"/>
        <v>5.4805355355121579</v>
      </c>
      <c r="I114" s="6">
        <v>2.3499999999999899</v>
      </c>
      <c r="J114" s="5">
        <v>10.5</v>
      </c>
      <c r="K114">
        <f t="shared" ref="K114" si="96">G114*$V$2/$R$4</f>
        <v>60573.901763767106</v>
      </c>
      <c r="L114" s="10">
        <v>867</v>
      </c>
      <c r="M114" s="8">
        <f t="shared" si="48"/>
        <v>6.7494663484219322</v>
      </c>
      <c r="N114">
        <v>0.37521222410865873</v>
      </c>
      <c r="O114">
        <v>0.46500000000000002</v>
      </c>
      <c r="P114" s="14">
        <v>377.03</v>
      </c>
    </row>
    <row r="115" spans="1:16" x14ac:dyDescent="0.35">
      <c r="A115" s="5">
        <v>2011</v>
      </c>
      <c r="B115" s="5">
        <v>17</v>
      </c>
      <c r="C115" s="5" t="s">
        <v>10</v>
      </c>
      <c r="D115" s="5" t="s">
        <v>58</v>
      </c>
      <c r="E115" s="5">
        <v>781</v>
      </c>
      <c r="F115" s="5">
        <v>12892409</v>
      </c>
      <c r="G115" s="5">
        <v>44075</v>
      </c>
      <c r="H115" s="5">
        <f t="shared" si="90"/>
        <v>6.0578282926022595</v>
      </c>
      <c r="I115" s="6">
        <v>2.3499999999999899</v>
      </c>
      <c r="J115" s="5">
        <v>9.8000000000000007</v>
      </c>
      <c r="K115">
        <f t="shared" ref="K115" si="97">G115*$V$2/$R$5</f>
        <v>61464.853471385584</v>
      </c>
      <c r="L115" s="10">
        <v>907</v>
      </c>
      <c r="M115" s="8">
        <f t="shared" si="48"/>
        <v>7.0351475818056972</v>
      </c>
      <c r="N115">
        <v>0.37601957585644374</v>
      </c>
      <c r="O115">
        <v>0.4718</v>
      </c>
      <c r="P115" s="14">
        <v>376.275096434722</v>
      </c>
    </row>
    <row r="116" spans="1:16" x14ac:dyDescent="0.35">
      <c r="A116" s="5">
        <v>2012</v>
      </c>
      <c r="B116" s="5">
        <v>17</v>
      </c>
      <c r="C116" s="5" t="s">
        <v>10</v>
      </c>
      <c r="D116" s="5" t="s">
        <v>58</v>
      </c>
      <c r="E116" s="5">
        <v>770</v>
      </c>
      <c r="F116" s="5">
        <v>12927420</v>
      </c>
      <c r="G116" s="5">
        <v>45934</v>
      </c>
      <c r="H116" s="5">
        <f t="shared" si="90"/>
        <v>5.9563315804700396</v>
      </c>
      <c r="I116" s="6">
        <v>2.3499999999999899</v>
      </c>
      <c r="J116" s="5">
        <v>9</v>
      </c>
      <c r="K116">
        <f t="shared" ref="K116" si="98">G116*$V$2/$R$6</f>
        <v>62758.567410298179</v>
      </c>
      <c r="L116" s="10">
        <v>1151</v>
      </c>
      <c r="M116" s="8">
        <f t="shared" si="48"/>
        <v>8.9035553884688508</v>
      </c>
      <c r="N116">
        <v>0.37925696594427244</v>
      </c>
      <c r="O116">
        <v>0.47160000000000002</v>
      </c>
      <c r="P116" s="14">
        <v>382.80674263639298</v>
      </c>
    </row>
    <row r="117" spans="1:16" x14ac:dyDescent="0.35">
      <c r="A117" s="5">
        <v>2013</v>
      </c>
      <c r="B117" s="5">
        <v>17</v>
      </c>
      <c r="C117" s="5" t="s">
        <v>10</v>
      </c>
      <c r="D117" s="5" t="s">
        <v>58</v>
      </c>
      <c r="E117" s="5">
        <v>722</v>
      </c>
      <c r="F117" s="5">
        <v>12959880</v>
      </c>
      <c r="G117" s="5">
        <v>46735</v>
      </c>
      <c r="H117" s="5">
        <f t="shared" si="90"/>
        <v>5.5710392380176357</v>
      </c>
      <c r="I117" s="6">
        <v>2.3299999999999899</v>
      </c>
      <c r="J117" s="5">
        <v>9.1</v>
      </c>
      <c r="K117">
        <f t="shared" ref="K117" si="99">G117*$V$2/$R$7</f>
        <v>62931.165043334186</v>
      </c>
      <c r="L117" s="10">
        <v>1072</v>
      </c>
      <c r="M117" s="8">
        <f t="shared" si="48"/>
        <v>8.2716815279153817</v>
      </c>
      <c r="N117">
        <v>0.37547312641937924</v>
      </c>
      <c r="O117">
        <v>0.4824</v>
      </c>
      <c r="P117" s="14">
        <v>377.48640744790202</v>
      </c>
    </row>
    <row r="118" spans="1:16" x14ac:dyDescent="0.35">
      <c r="A118" s="5">
        <v>2014</v>
      </c>
      <c r="B118" s="5">
        <v>17</v>
      </c>
      <c r="C118" s="5" t="s">
        <v>10</v>
      </c>
      <c r="D118" s="5" t="s">
        <v>58</v>
      </c>
      <c r="E118" s="5">
        <v>690</v>
      </c>
      <c r="F118" s="5">
        <v>12968905</v>
      </c>
      <c r="G118" s="5">
        <v>48536</v>
      </c>
      <c r="H118" s="5">
        <f t="shared" si="90"/>
        <v>5.3204183390964772</v>
      </c>
      <c r="I118" s="6">
        <v>2.3199999999999998</v>
      </c>
      <c r="J118" s="5">
        <v>7.2</v>
      </c>
      <c r="K118">
        <f t="shared" ref="K118" si="100">G118*$V$2/$R$8</f>
        <v>64313.029298459049</v>
      </c>
      <c r="L118" s="10">
        <v>1205</v>
      </c>
      <c r="M118" s="8">
        <f t="shared" si="48"/>
        <v>9.2914552153786296</v>
      </c>
      <c r="N118">
        <v>0.38125894134477828</v>
      </c>
      <c r="O118">
        <v>0.47649999999999998</v>
      </c>
      <c r="P118" s="14">
        <v>374.94560617073603</v>
      </c>
    </row>
    <row r="119" spans="1:16" x14ac:dyDescent="0.35">
      <c r="A119" s="5">
        <v>2015</v>
      </c>
      <c r="B119" s="5">
        <v>17</v>
      </c>
      <c r="C119" s="5" t="s">
        <v>10</v>
      </c>
      <c r="D119" s="5" t="s">
        <v>58</v>
      </c>
      <c r="E119" s="5">
        <v>754</v>
      </c>
      <c r="F119" s="5">
        <v>12963110</v>
      </c>
      <c r="G119" s="5">
        <v>50688</v>
      </c>
      <c r="H119" s="5">
        <f t="shared" si="90"/>
        <v>5.8165054527810076</v>
      </c>
      <c r="I119" s="6">
        <v>2.36</v>
      </c>
      <c r="J119" s="5">
        <v>6</v>
      </c>
      <c r="K119">
        <f t="shared" ref="K119" si="101">G119*$V$2/$R$9</f>
        <v>67084.926532695972</v>
      </c>
      <c r="L119" s="10">
        <v>1381</v>
      </c>
      <c r="M119" s="8">
        <f t="shared" si="48"/>
        <v>10.653307732480863</v>
      </c>
      <c r="N119">
        <v>0.36316947909024211</v>
      </c>
      <c r="O119">
        <v>0.48170000000000002</v>
      </c>
      <c r="P119" s="14">
        <v>360.621954327666</v>
      </c>
    </row>
    <row r="120" spans="1:16" x14ac:dyDescent="0.35">
      <c r="A120" s="5">
        <v>2016</v>
      </c>
      <c r="B120" s="5">
        <v>17</v>
      </c>
      <c r="C120" s="5" t="s">
        <v>10</v>
      </c>
      <c r="D120" s="5" t="s">
        <v>58</v>
      </c>
      <c r="E120" s="5">
        <v>1061</v>
      </c>
      <c r="F120" s="5">
        <v>12944999</v>
      </c>
      <c r="G120" s="5">
        <v>51347</v>
      </c>
      <c r="H120" s="5">
        <f t="shared" si="90"/>
        <v>8.1962153878884045</v>
      </c>
      <c r="I120" s="6">
        <v>2.3099999999999898</v>
      </c>
      <c r="J120" s="5">
        <v>5.9</v>
      </c>
      <c r="K120">
        <f t="shared" ref="K120" si="102">G120*$V$2/$R$10</f>
        <v>67110.497123000576</v>
      </c>
      <c r="L120" s="10">
        <v>1947</v>
      </c>
      <c r="M120" s="8">
        <f t="shared" si="48"/>
        <v>15.040557361186353</v>
      </c>
      <c r="N120">
        <v>0.35759717314487632</v>
      </c>
      <c r="O120">
        <v>0.48099999999999998</v>
      </c>
      <c r="P120" s="14">
        <v>340.47206584118499</v>
      </c>
    </row>
    <row r="121" spans="1:16" x14ac:dyDescent="0.35">
      <c r="A121" s="5">
        <v>2017</v>
      </c>
      <c r="B121" s="5">
        <v>17</v>
      </c>
      <c r="C121" s="5" t="s">
        <v>10</v>
      </c>
      <c r="D121" s="5" t="s">
        <v>58</v>
      </c>
      <c r="E121" s="5">
        <v>983</v>
      </c>
      <c r="F121" s="5">
        <v>12922894</v>
      </c>
      <c r="G121" s="5">
        <v>53056</v>
      </c>
      <c r="H121" s="5">
        <f t="shared" si="90"/>
        <v>7.6066552894421324</v>
      </c>
      <c r="I121" s="6">
        <v>2.38</v>
      </c>
      <c r="J121" s="5">
        <v>4.9000000000000004</v>
      </c>
      <c r="K121">
        <f t="shared" ref="K121" si="103">G121*$V$2/$R$11</f>
        <v>67897.697389033943</v>
      </c>
      <c r="L121" s="10">
        <v>2202</v>
      </c>
      <c r="M121" s="8">
        <f t="shared" si="48"/>
        <v>17.039526904732021</v>
      </c>
      <c r="N121">
        <v>0.39145183175033921</v>
      </c>
      <c r="O121">
        <v>0.48180000000000001</v>
      </c>
      <c r="P121" s="14">
        <v>324.51247732341102</v>
      </c>
    </row>
    <row r="122" spans="1:16" x14ac:dyDescent="0.35">
      <c r="A122" s="5">
        <v>2018</v>
      </c>
      <c r="B122" s="5">
        <v>17</v>
      </c>
      <c r="C122" s="5" t="s">
        <v>10</v>
      </c>
      <c r="D122" s="5" t="s">
        <v>58</v>
      </c>
      <c r="E122" s="5">
        <v>902</v>
      </c>
      <c r="F122" s="5">
        <v>12887397</v>
      </c>
      <c r="G122" s="5">
        <v>56077</v>
      </c>
      <c r="H122" s="5">
        <f t="shared" si="90"/>
        <v>6.999086006274192</v>
      </c>
      <c r="I122" s="6">
        <v>2.3899999999999899</v>
      </c>
      <c r="J122" s="5">
        <v>4.4000000000000004</v>
      </c>
      <c r="K122">
        <f t="shared" ref="K122" si="104">G122*$V$2/$R$12</f>
        <v>70052.758596932777</v>
      </c>
      <c r="L122" s="10">
        <v>2169</v>
      </c>
      <c r="M122" s="8">
        <f t="shared" si="48"/>
        <v>16.830396394244705</v>
      </c>
      <c r="N122">
        <v>0.38508064516129031</v>
      </c>
      <c r="O122">
        <v>0.48520000000000002</v>
      </c>
      <c r="P122" s="14">
        <v>314.28344437647502</v>
      </c>
    </row>
    <row r="123" spans="1:16" x14ac:dyDescent="0.35">
      <c r="A123" s="5">
        <v>2008</v>
      </c>
      <c r="B123" s="5">
        <v>18</v>
      </c>
      <c r="C123" s="5" t="s">
        <v>11</v>
      </c>
      <c r="D123" s="5" t="s">
        <v>59</v>
      </c>
      <c r="E123" s="5">
        <v>322</v>
      </c>
      <c r="F123" s="5">
        <v>6424806</v>
      </c>
      <c r="G123" s="5">
        <v>35270</v>
      </c>
      <c r="H123" s="5">
        <f t="shared" si="90"/>
        <v>5.0118244815485484</v>
      </c>
      <c r="I123" s="6">
        <v>2.08</v>
      </c>
      <c r="J123" s="5">
        <v>5.9</v>
      </c>
      <c r="K123">
        <f t="shared" ref="K123" si="105">G123*$V$2/$R$2</f>
        <v>51387.166133309809</v>
      </c>
      <c r="L123" s="10">
        <v>311</v>
      </c>
      <c r="M123" s="8">
        <f t="shared" si="48"/>
        <v>4.8406130862161447</v>
      </c>
      <c r="N123">
        <v>0.55624227441285534</v>
      </c>
      <c r="O123">
        <v>0.437</v>
      </c>
      <c r="P123" s="14">
        <v>443.01</v>
      </c>
    </row>
    <row r="124" spans="1:16" x14ac:dyDescent="0.35">
      <c r="A124" s="5">
        <v>2009</v>
      </c>
      <c r="B124" s="5">
        <v>18</v>
      </c>
      <c r="C124" s="5" t="s">
        <v>11</v>
      </c>
      <c r="D124" s="5" t="s">
        <v>59</v>
      </c>
      <c r="E124" s="5">
        <v>312</v>
      </c>
      <c r="F124" s="5">
        <v>6459325</v>
      </c>
      <c r="G124" s="5">
        <v>34200</v>
      </c>
      <c r="H124" s="5">
        <f t="shared" si="90"/>
        <v>4.8302260685133502</v>
      </c>
      <c r="I124" s="6">
        <v>2.0499999999999998</v>
      </c>
      <c r="J124" s="5">
        <v>10.5</v>
      </c>
      <c r="K124">
        <f t="shared" ref="K124" si="106">G124*$V$2/$R$3</f>
        <v>50006.1238853904</v>
      </c>
      <c r="L124" s="10">
        <v>319</v>
      </c>
      <c r="M124" s="8">
        <f t="shared" si="48"/>
        <v>4.9385965251787143</v>
      </c>
      <c r="N124">
        <v>0.5531400966183575</v>
      </c>
      <c r="O124">
        <v>0.434</v>
      </c>
      <c r="P124" s="14">
        <v>448.19</v>
      </c>
    </row>
    <row r="125" spans="1:16" x14ac:dyDescent="0.35">
      <c r="A125" s="5">
        <v>2010</v>
      </c>
      <c r="B125" s="5">
        <v>18</v>
      </c>
      <c r="C125" s="5" t="s">
        <v>11</v>
      </c>
      <c r="D125" s="5" t="s">
        <v>59</v>
      </c>
      <c r="E125" s="5">
        <v>268</v>
      </c>
      <c r="F125" s="5">
        <v>6491385</v>
      </c>
      <c r="G125" s="5">
        <v>35590</v>
      </c>
      <c r="H125" s="5">
        <f t="shared" si="90"/>
        <v>4.1285488381909259</v>
      </c>
      <c r="I125" s="6">
        <v>2.0299999999999998</v>
      </c>
      <c r="J125" s="5">
        <v>10.100000000000001</v>
      </c>
      <c r="K125">
        <f t="shared" ref="K125" si="107">G125*$V$2/$R$4</f>
        <v>51198.735691748916</v>
      </c>
      <c r="L125" s="10">
        <v>289</v>
      </c>
      <c r="M125" s="8">
        <f t="shared" si="48"/>
        <v>4.4520545307357366</v>
      </c>
      <c r="N125">
        <v>0.52662037037037035</v>
      </c>
      <c r="O125">
        <v>0.44</v>
      </c>
      <c r="P125" s="14">
        <v>431.58</v>
      </c>
    </row>
    <row r="126" spans="1:16" x14ac:dyDescent="0.35">
      <c r="A126" s="5">
        <v>2011</v>
      </c>
      <c r="B126" s="5">
        <v>18</v>
      </c>
      <c r="C126" s="5" t="s">
        <v>11</v>
      </c>
      <c r="D126" s="5" t="s">
        <v>59</v>
      </c>
      <c r="E126" s="5">
        <v>306</v>
      </c>
      <c r="F126" s="5">
        <v>6521409</v>
      </c>
      <c r="G126" s="5">
        <v>37681</v>
      </c>
      <c r="H126" s="5">
        <f t="shared" si="90"/>
        <v>4.6922375210633165</v>
      </c>
      <c r="I126" s="6">
        <v>2.02</v>
      </c>
      <c r="J126" s="5">
        <v>8.9</v>
      </c>
      <c r="K126">
        <f t="shared" ref="K126" si="108">G126*$V$2/$R$5</f>
        <v>52548.091744873062</v>
      </c>
      <c r="L126" s="10">
        <v>356</v>
      </c>
      <c r="M126" s="8">
        <f t="shared" si="48"/>
        <v>5.4589429983612439</v>
      </c>
      <c r="N126">
        <v>0.46651532349602726</v>
      </c>
      <c r="O126">
        <v>0.4461</v>
      </c>
      <c r="P126" s="14">
        <v>442.55338443811303</v>
      </c>
    </row>
    <row r="127" spans="1:16" x14ac:dyDescent="0.35">
      <c r="A127" s="5">
        <v>2012</v>
      </c>
      <c r="B127" s="5">
        <v>18</v>
      </c>
      <c r="C127" s="5" t="s">
        <v>11</v>
      </c>
      <c r="D127" s="5" t="s">
        <v>59</v>
      </c>
      <c r="E127" s="5">
        <v>307</v>
      </c>
      <c r="F127" s="5">
        <v>6546485</v>
      </c>
      <c r="G127" s="5">
        <v>39148</v>
      </c>
      <c r="H127" s="5">
        <f t="shared" si="90"/>
        <v>4.6895395009688405</v>
      </c>
      <c r="I127" s="6">
        <v>2.08</v>
      </c>
      <c r="J127" s="5">
        <v>8.2000000000000011</v>
      </c>
      <c r="K127">
        <f t="shared" ref="K127" si="109">G127*$V$2/$R$6</f>
        <v>53487.011733756117</v>
      </c>
      <c r="L127" s="10">
        <v>375</v>
      </c>
      <c r="M127" s="8">
        <f t="shared" si="48"/>
        <v>5.728264862746955</v>
      </c>
      <c r="N127">
        <v>0.54574468085106387</v>
      </c>
      <c r="O127">
        <v>0.44169999999999998</v>
      </c>
      <c r="P127" s="14">
        <v>439.94845541793597</v>
      </c>
    </row>
    <row r="128" spans="1:16" x14ac:dyDescent="0.35">
      <c r="A128" s="5">
        <v>2013</v>
      </c>
      <c r="B128" s="5">
        <v>18</v>
      </c>
      <c r="C128" s="5" t="s">
        <v>11</v>
      </c>
      <c r="D128" s="5" t="s">
        <v>59</v>
      </c>
      <c r="E128" s="5">
        <v>357</v>
      </c>
      <c r="F128" s="5">
        <v>6581401</v>
      </c>
      <c r="G128" s="5">
        <v>39435</v>
      </c>
      <c r="H128" s="5">
        <f t="shared" si="90"/>
        <v>5.4243769677611198</v>
      </c>
      <c r="I128" s="6">
        <v>2.09</v>
      </c>
      <c r="J128" s="5">
        <v>7.5</v>
      </c>
      <c r="K128">
        <f t="shared" ref="K128" si="110">G128*$V$2/$R$7</f>
        <v>53101.326489437975</v>
      </c>
      <c r="L128" s="10">
        <v>360</v>
      </c>
      <c r="M128" s="8">
        <f t="shared" si="48"/>
        <v>5.4699599674902046</v>
      </c>
      <c r="N128">
        <v>0.55402542372881358</v>
      </c>
      <c r="O128">
        <v>0.45540000000000003</v>
      </c>
      <c r="P128" s="14">
        <v>454.12412432477402</v>
      </c>
    </row>
    <row r="129" spans="1:16" x14ac:dyDescent="0.35">
      <c r="A129" s="5">
        <v>2014</v>
      </c>
      <c r="B129" s="5">
        <v>18</v>
      </c>
      <c r="C129" s="5" t="s">
        <v>11</v>
      </c>
      <c r="D129" s="5" t="s">
        <v>59</v>
      </c>
      <c r="E129" s="5">
        <v>333</v>
      </c>
      <c r="F129" s="5">
        <v>6610174</v>
      </c>
      <c r="G129" s="5">
        <v>40719</v>
      </c>
      <c r="H129" s="5">
        <f t="shared" si="90"/>
        <v>5.037688871730154</v>
      </c>
      <c r="I129" s="6">
        <v>2.0499999999999998</v>
      </c>
      <c r="J129" s="5">
        <v>5.9</v>
      </c>
      <c r="K129">
        <f t="shared" ref="K129" si="111">G129*$V$2/$R$8</f>
        <v>53955.048623783463</v>
      </c>
      <c r="L129" s="10">
        <v>462</v>
      </c>
      <c r="M129" s="8">
        <f t="shared" si="48"/>
        <v>6.9892260022202137</v>
      </c>
      <c r="N129">
        <v>0.55696202531645567</v>
      </c>
      <c r="O129">
        <v>0.44550000000000001</v>
      </c>
      <c r="P129" s="14">
        <v>442.59988749332001</v>
      </c>
    </row>
    <row r="130" spans="1:16" x14ac:dyDescent="0.35">
      <c r="A130" s="5">
        <v>2015</v>
      </c>
      <c r="B130" s="5">
        <v>18</v>
      </c>
      <c r="C130" s="5" t="s">
        <v>11</v>
      </c>
      <c r="D130" s="5" t="s">
        <v>59</v>
      </c>
      <c r="E130" s="5">
        <v>370</v>
      </c>
      <c r="F130" s="5">
        <v>6628925</v>
      </c>
      <c r="G130" s="5">
        <v>42146</v>
      </c>
      <c r="H130" s="5">
        <f t="shared" si="90"/>
        <v>5.5815988263557061</v>
      </c>
      <c r="I130" s="6">
        <v>2.14</v>
      </c>
      <c r="J130" s="5">
        <v>4.8000000000000007</v>
      </c>
      <c r="K130">
        <f t="shared" ref="K130" si="112">G130*$V$2/$R$9</f>
        <v>55779.697633503085</v>
      </c>
      <c r="L130" s="10">
        <v>535</v>
      </c>
      <c r="M130" s="8">
        <f t="shared" si="48"/>
        <v>8.0706901948656835</v>
      </c>
      <c r="N130">
        <v>0.5385416666666667</v>
      </c>
      <c r="O130">
        <v>0.45190000000000002</v>
      </c>
      <c r="P130" s="14">
        <v>412.66641625471499</v>
      </c>
    </row>
    <row r="131" spans="1:16" x14ac:dyDescent="0.35">
      <c r="A131" s="5">
        <v>2016</v>
      </c>
      <c r="B131" s="5">
        <v>18</v>
      </c>
      <c r="C131" s="5" t="s">
        <v>11</v>
      </c>
      <c r="D131" s="5" t="s">
        <v>59</v>
      </c>
      <c r="E131" s="5">
        <v>431</v>
      </c>
      <c r="F131" s="5">
        <v>6658719</v>
      </c>
      <c r="G131" s="5">
        <v>43143</v>
      </c>
      <c r="H131" s="5">
        <f t="shared" si="90"/>
        <v>6.4727164489145741</v>
      </c>
      <c r="I131" s="6">
        <v>2.17</v>
      </c>
      <c r="J131" s="5">
        <v>4.4000000000000004</v>
      </c>
      <c r="K131">
        <f t="shared" ref="K131" si="113">G131*$V$2/$R$10</f>
        <v>56387.874216168697</v>
      </c>
      <c r="L131" s="10">
        <v>794</v>
      </c>
      <c r="M131" s="8">
        <f t="shared" ref="M131:M194" si="114">L131/F131*100000</f>
        <v>11.924215453452835</v>
      </c>
      <c r="N131">
        <v>0.57156673114119927</v>
      </c>
      <c r="O131">
        <v>0.45269999999999999</v>
      </c>
      <c r="P131" s="14">
        <v>383.79013579676598</v>
      </c>
    </row>
    <row r="132" spans="1:16" x14ac:dyDescent="0.35">
      <c r="A132" s="5">
        <v>2017</v>
      </c>
      <c r="B132" s="5">
        <v>18</v>
      </c>
      <c r="C132" s="5" t="s">
        <v>11</v>
      </c>
      <c r="D132" s="5" t="s">
        <v>59</v>
      </c>
      <c r="E132" s="5">
        <v>413</v>
      </c>
      <c r="F132" s="5">
        <v>6686218</v>
      </c>
      <c r="G132" s="5">
        <v>44568</v>
      </c>
      <c r="H132" s="5">
        <f t="shared" si="90"/>
        <v>6.176885049216164</v>
      </c>
      <c r="I132" s="6">
        <v>2.11</v>
      </c>
      <c r="J132" s="5">
        <v>3.5</v>
      </c>
      <c r="K132">
        <f t="shared" ref="K132" si="115">G132*$V$2/$R$11</f>
        <v>57035.29435378591</v>
      </c>
      <c r="L132" s="10">
        <v>1176</v>
      </c>
      <c r="M132" s="8">
        <f t="shared" si="114"/>
        <v>17.588418445225688</v>
      </c>
      <c r="N132">
        <v>0.55311355311355315</v>
      </c>
      <c r="O132">
        <v>0.44969999999999999</v>
      </c>
      <c r="P132" s="14">
        <v>389.41386182150598</v>
      </c>
    </row>
    <row r="133" spans="1:16" x14ac:dyDescent="0.35">
      <c r="A133" s="5">
        <v>2018</v>
      </c>
      <c r="B133" s="5">
        <v>18</v>
      </c>
      <c r="C133" s="5" t="s">
        <v>11</v>
      </c>
      <c r="D133" s="5" t="s">
        <v>59</v>
      </c>
      <c r="E133" s="5">
        <v>418</v>
      </c>
      <c r="F133" s="5">
        <v>6725960</v>
      </c>
      <c r="G133" s="5">
        <v>46555</v>
      </c>
      <c r="H133" s="5">
        <f t="shared" si="90"/>
        <v>6.214726224955248</v>
      </c>
      <c r="I133" s="6">
        <v>2.15</v>
      </c>
      <c r="J133" s="5">
        <v>3.4000000000000004</v>
      </c>
      <c r="K133">
        <f t="shared" ref="K133" si="116">G133*$V$2/$R$12</f>
        <v>58157.643534429553</v>
      </c>
      <c r="L133" s="10">
        <v>1104</v>
      </c>
      <c r="M133" s="8">
        <f t="shared" si="114"/>
        <v>16.414013761604291</v>
      </c>
      <c r="N133">
        <v>0.54494902687673774</v>
      </c>
      <c r="O133">
        <v>0.4511</v>
      </c>
      <c r="P133" s="14">
        <v>399.79973528364002</v>
      </c>
    </row>
    <row r="134" spans="1:16" x14ac:dyDescent="0.35">
      <c r="A134" s="5">
        <v>2008</v>
      </c>
      <c r="B134" s="5">
        <v>19</v>
      </c>
      <c r="C134" s="5" t="s">
        <v>12</v>
      </c>
      <c r="D134" s="5" t="s">
        <v>60</v>
      </c>
      <c r="E134" s="5">
        <v>77</v>
      </c>
      <c r="F134" s="5">
        <v>3016734</v>
      </c>
      <c r="G134" s="5">
        <v>38490</v>
      </c>
      <c r="H134" s="5">
        <f t="shared" si="90"/>
        <v>2.5524292164970461</v>
      </c>
      <c r="I134" s="6">
        <v>2.2999999999999998</v>
      </c>
      <c r="J134" s="5">
        <v>4.1000000000000005</v>
      </c>
      <c r="K134">
        <f t="shared" ref="K134" si="117">G134*$V$2/$R$2</f>
        <v>56078.594399520684</v>
      </c>
      <c r="L134" s="10">
        <v>127</v>
      </c>
      <c r="M134" s="8">
        <f t="shared" si="114"/>
        <v>4.2098507856509721</v>
      </c>
      <c r="N134">
        <v>0.47368421052631576</v>
      </c>
      <c r="O134">
        <v>0.42799999999999999</v>
      </c>
      <c r="P134" s="14">
        <v>292.79000000000002</v>
      </c>
    </row>
    <row r="135" spans="1:16" x14ac:dyDescent="0.35">
      <c r="A135" s="5">
        <v>2009</v>
      </c>
      <c r="B135" s="5">
        <v>19</v>
      </c>
      <c r="C135" s="5" t="s">
        <v>12</v>
      </c>
      <c r="D135" s="5" t="s">
        <v>60</v>
      </c>
      <c r="E135" s="5">
        <v>38</v>
      </c>
      <c r="F135" s="5">
        <v>3032870</v>
      </c>
      <c r="G135" s="5">
        <v>37246</v>
      </c>
      <c r="H135" s="5">
        <f t="shared" si="90"/>
        <v>1.252938635681714</v>
      </c>
      <c r="I135" s="6">
        <v>2.3099999999999898</v>
      </c>
      <c r="J135" s="5">
        <v>6.4</v>
      </c>
      <c r="K135">
        <f t="shared" ref="K135" si="118">G135*$V$2/$R$3</f>
        <v>54459.885679393301</v>
      </c>
      <c r="L135" s="10">
        <v>141</v>
      </c>
      <c r="M135" s="8">
        <f t="shared" si="114"/>
        <v>4.6490617797663596</v>
      </c>
      <c r="N135">
        <v>0.44321329639889195</v>
      </c>
      <c r="O135">
        <v>0.43099999999999999</v>
      </c>
      <c r="P135" s="14">
        <v>293</v>
      </c>
    </row>
    <row r="136" spans="1:16" x14ac:dyDescent="0.35">
      <c r="A136" s="5">
        <v>2010</v>
      </c>
      <c r="B136" s="5">
        <v>19</v>
      </c>
      <c r="C136" s="5" t="s">
        <v>12</v>
      </c>
      <c r="D136" s="5" t="s">
        <v>60</v>
      </c>
      <c r="E136" s="5">
        <v>38</v>
      </c>
      <c r="F136" s="5">
        <v>3051473</v>
      </c>
      <c r="G136" s="5">
        <v>38190</v>
      </c>
      <c r="H136" s="5">
        <f t="shared" si="90"/>
        <v>1.2453002205819943</v>
      </c>
      <c r="I136" s="6">
        <v>2.2999999999999998</v>
      </c>
      <c r="J136" s="5">
        <v>6.1000000000000005</v>
      </c>
      <c r="K136">
        <f t="shared" ref="K136" si="119">G136*$V$2/$R$4</f>
        <v>54939.019838940454</v>
      </c>
      <c r="L136" s="10">
        <v>147</v>
      </c>
      <c r="M136" s="8">
        <f t="shared" si="114"/>
        <v>4.8173455901461359</v>
      </c>
      <c r="N136">
        <v>0.47580645161290325</v>
      </c>
      <c r="O136">
        <v>0.42699999999999999</v>
      </c>
      <c r="P136" s="14">
        <v>307.77999999999997</v>
      </c>
    </row>
    <row r="137" spans="1:16" x14ac:dyDescent="0.35">
      <c r="A137" s="5">
        <v>2011</v>
      </c>
      <c r="B137" s="5">
        <v>19</v>
      </c>
      <c r="C137" s="5" t="s">
        <v>12</v>
      </c>
      <c r="D137" s="5" t="s">
        <v>60</v>
      </c>
      <c r="E137" s="5">
        <v>44</v>
      </c>
      <c r="F137" s="5">
        <v>3070048</v>
      </c>
      <c r="G137" s="5">
        <v>40879</v>
      </c>
      <c r="H137" s="5">
        <f t="shared" si="90"/>
        <v>1.4332023473248627</v>
      </c>
      <c r="I137" s="6">
        <v>2.3699999999999899</v>
      </c>
      <c r="J137" s="5">
        <v>5.6000000000000005</v>
      </c>
      <c r="K137">
        <f t="shared" ref="K137" si="120">G137*$V$2/$R$5</f>
        <v>57007.867159541034</v>
      </c>
      <c r="L137" s="10">
        <v>172</v>
      </c>
      <c r="M137" s="8">
        <f t="shared" si="114"/>
        <v>5.6025182668153723</v>
      </c>
      <c r="N137">
        <v>0.43838862559241704</v>
      </c>
      <c r="O137">
        <v>0.434</v>
      </c>
      <c r="P137" s="14">
        <v>295.03915938760002</v>
      </c>
    </row>
    <row r="138" spans="1:16" x14ac:dyDescent="0.35">
      <c r="A138" s="5">
        <v>2012</v>
      </c>
      <c r="B138" s="5">
        <v>19</v>
      </c>
      <c r="C138" s="5" t="s">
        <v>12</v>
      </c>
      <c r="D138" s="5" t="s">
        <v>60</v>
      </c>
      <c r="E138" s="5">
        <v>49</v>
      </c>
      <c r="F138" s="5">
        <v>3082748</v>
      </c>
      <c r="G138" s="5">
        <v>42539</v>
      </c>
      <c r="H138" s="5">
        <f t="shared" si="90"/>
        <v>1.5894909347114976</v>
      </c>
      <c r="I138" s="6">
        <v>2.4</v>
      </c>
      <c r="J138" s="5">
        <v>5.1000000000000005</v>
      </c>
      <c r="K138">
        <f t="shared" ref="K138" si="121">G138*$V$2/$R$6</f>
        <v>58120.057018040548</v>
      </c>
      <c r="L138" s="10">
        <v>171</v>
      </c>
      <c r="M138" s="8">
        <f t="shared" si="114"/>
        <v>5.5469989762380836</v>
      </c>
      <c r="N138">
        <v>0.45691906005221933</v>
      </c>
      <c r="O138">
        <v>0.43280000000000002</v>
      </c>
      <c r="P138" s="14">
        <v>281.74011987740403</v>
      </c>
    </row>
    <row r="139" spans="1:16" x14ac:dyDescent="0.35">
      <c r="A139" s="5">
        <v>2013</v>
      </c>
      <c r="B139" s="5">
        <v>19</v>
      </c>
      <c r="C139" s="5" t="s">
        <v>12</v>
      </c>
      <c r="D139" s="5" t="s">
        <v>60</v>
      </c>
      <c r="E139" s="5">
        <v>41</v>
      </c>
      <c r="F139" s="5">
        <v>3102460</v>
      </c>
      <c r="G139" s="5">
        <v>43009</v>
      </c>
      <c r="H139" s="5">
        <f t="shared" si="90"/>
        <v>1.3215319456173487</v>
      </c>
      <c r="I139" s="6">
        <v>2.34</v>
      </c>
      <c r="J139" s="5">
        <v>4.7</v>
      </c>
      <c r="K139">
        <f t="shared" ref="K139" si="122">G139*$V$2/$R$7</f>
        <v>57913.90772116743</v>
      </c>
      <c r="L139" s="10">
        <v>179</v>
      </c>
      <c r="M139" s="8">
        <f t="shared" si="114"/>
        <v>5.7696150796464742</v>
      </c>
      <c r="N139">
        <v>0.49440715883668906</v>
      </c>
      <c r="O139">
        <v>0.44290000000000002</v>
      </c>
      <c r="P139" s="14">
        <v>279.12284340189302</v>
      </c>
    </row>
    <row r="140" spans="1:16" x14ac:dyDescent="0.35">
      <c r="A140" s="5">
        <v>2014</v>
      </c>
      <c r="B140" s="5">
        <v>19</v>
      </c>
      <c r="C140" s="5" t="s">
        <v>12</v>
      </c>
      <c r="D140" s="5" t="s">
        <v>60</v>
      </c>
      <c r="E140" s="5">
        <v>60</v>
      </c>
      <c r="F140" s="5">
        <v>3121790</v>
      </c>
      <c r="G140" s="5">
        <v>44120</v>
      </c>
      <c r="H140" s="5">
        <f t="shared" si="90"/>
        <v>1.9219742519516048</v>
      </c>
      <c r="I140" s="6">
        <v>2.3699999999999899</v>
      </c>
      <c r="J140" s="5">
        <v>4.2</v>
      </c>
      <c r="K140">
        <f t="shared" ref="K140" si="123">G140*$V$2/$R$8</f>
        <v>58461.571877534479</v>
      </c>
      <c r="L140" s="10">
        <v>158</v>
      </c>
      <c r="M140" s="8">
        <f t="shared" si="114"/>
        <v>5.0611988634725593</v>
      </c>
      <c r="N140">
        <v>0.47665847665847666</v>
      </c>
      <c r="O140">
        <v>0.44330000000000003</v>
      </c>
      <c r="P140" s="14">
        <v>282.17674437699202</v>
      </c>
    </row>
    <row r="141" spans="1:16" x14ac:dyDescent="0.35">
      <c r="A141" s="5">
        <v>2015</v>
      </c>
      <c r="B141" s="5">
        <v>19</v>
      </c>
      <c r="C141" s="5" t="s">
        <v>12</v>
      </c>
      <c r="D141" s="5" t="s">
        <v>60</v>
      </c>
      <c r="E141" s="5">
        <v>73</v>
      </c>
      <c r="F141" s="5">
        <v>3136310</v>
      </c>
      <c r="G141" s="5">
        <v>45442</v>
      </c>
      <c r="H141" s="5">
        <f t="shared" si="90"/>
        <v>2.327576036807586</v>
      </c>
      <c r="I141" s="6">
        <v>2.36</v>
      </c>
      <c r="J141" s="5">
        <v>3.7</v>
      </c>
      <c r="K141">
        <f t="shared" ref="K141" si="124">G141*$V$2/$R$9</f>
        <v>60141.911921929655</v>
      </c>
      <c r="L141" s="10">
        <v>170</v>
      </c>
      <c r="M141" s="8">
        <f t="shared" si="114"/>
        <v>5.4203825514697206</v>
      </c>
      <c r="N141">
        <v>0.44572748267898382</v>
      </c>
      <c r="O141">
        <v>0.43930000000000002</v>
      </c>
      <c r="P141" s="14">
        <v>281.76828777184397</v>
      </c>
    </row>
    <row r="142" spans="1:16" x14ac:dyDescent="0.35">
      <c r="A142" s="5">
        <v>2016</v>
      </c>
      <c r="B142" s="5">
        <v>19</v>
      </c>
      <c r="C142" s="5" t="s">
        <v>12</v>
      </c>
      <c r="D142" s="5" t="s">
        <v>60</v>
      </c>
      <c r="E142" s="5">
        <v>73</v>
      </c>
      <c r="F142" s="5">
        <v>3149607</v>
      </c>
      <c r="G142" s="5">
        <v>45669</v>
      </c>
      <c r="H142" s="5">
        <f t="shared" si="90"/>
        <v>2.3177494843007396</v>
      </c>
      <c r="I142" s="6">
        <v>2.4</v>
      </c>
      <c r="J142" s="5">
        <v>3.6</v>
      </c>
      <c r="K142">
        <f t="shared" ref="K142" si="125">G142*$V$2/$R$10</f>
        <v>59689.354647989436</v>
      </c>
      <c r="L142" s="10">
        <v>183</v>
      </c>
      <c r="M142" s="8">
        <f t="shared" si="114"/>
        <v>5.8102487072196629</v>
      </c>
      <c r="N142">
        <v>0.50554323725055428</v>
      </c>
      <c r="O142">
        <v>0.4451</v>
      </c>
      <c r="P142" s="14">
        <v>286.64093333193199</v>
      </c>
    </row>
    <row r="143" spans="1:16" x14ac:dyDescent="0.35">
      <c r="A143" s="5">
        <v>2017</v>
      </c>
      <c r="B143" s="5">
        <v>19</v>
      </c>
      <c r="C143" s="5" t="s">
        <v>12</v>
      </c>
      <c r="D143" s="5" t="s">
        <v>60</v>
      </c>
      <c r="E143" s="5">
        <v>98</v>
      </c>
      <c r="F143" s="5">
        <v>3162752</v>
      </c>
      <c r="G143" s="5">
        <v>46767</v>
      </c>
      <c r="H143" s="5">
        <f t="shared" si="90"/>
        <v>3.098567323647254</v>
      </c>
      <c r="I143" s="6">
        <v>2.4</v>
      </c>
      <c r="J143" s="5">
        <v>3.1</v>
      </c>
      <c r="K143">
        <f t="shared" ref="K143" si="126">G143*$V$2/$R$11</f>
        <v>59849.434819680158</v>
      </c>
      <c r="L143" s="10">
        <v>206</v>
      </c>
      <c r="M143" s="8">
        <f t="shared" si="114"/>
        <v>6.5133149864421869</v>
      </c>
      <c r="N143">
        <v>0.46346555323590816</v>
      </c>
      <c r="O143">
        <v>0.43809999999999999</v>
      </c>
      <c r="P143" s="14">
        <v>285.64599513141701</v>
      </c>
    </row>
    <row r="144" spans="1:16" x14ac:dyDescent="0.35">
      <c r="A144" s="5">
        <v>2018</v>
      </c>
      <c r="B144" s="5">
        <v>19</v>
      </c>
      <c r="C144" s="5" t="s">
        <v>12</v>
      </c>
      <c r="D144" s="5" t="s">
        <v>60</v>
      </c>
      <c r="E144" s="5">
        <v>70</v>
      </c>
      <c r="F144" s="5">
        <v>3171540</v>
      </c>
      <c r="G144" s="5">
        <v>48773</v>
      </c>
      <c r="H144" s="5">
        <f t="shared" si="90"/>
        <v>2.2071296594083631</v>
      </c>
      <c r="I144" s="6">
        <v>2.3899999999999899</v>
      </c>
      <c r="J144" s="5">
        <v>2.6</v>
      </c>
      <c r="K144">
        <f t="shared" ref="K144" si="127">G144*$V$2/$R$12</f>
        <v>60928.423329496989</v>
      </c>
      <c r="L144" s="10">
        <v>143</v>
      </c>
      <c r="M144" s="8">
        <f t="shared" si="114"/>
        <v>4.5088505899342275</v>
      </c>
      <c r="N144">
        <v>0.47142857142857142</v>
      </c>
      <c r="O144">
        <v>0.44130000000000003</v>
      </c>
      <c r="P144" s="14">
        <v>298.14707256625002</v>
      </c>
    </row>
    <row r="145" spans="1:16" x14ac:dyDescent="0.35">
      <c r="A145" s="5">
        <v>2008</v>
      </c>
      <c r="B145" s="5">
        <v>20</v>
      </c>
      <c r="C145" s="5" t="s">
        <v>13</v>
      </c>
      <c r="D145" s="5" t="s">
        <v>61</v>
      </c>
      <c r="E145" s="5">
        <v>113</v>
      </c>
      <c r="F145" s="5">
        <v>2808076</v>
      </c>
      <c r="G145" s="5">
        <v>41060</v>
      </c>
      <c r="H145" s="5">
        <f t="shared" si="90"/>
        <v>4.0241076096231012</v>
      </c>
      <c r="I145" s="6">
        <v>2.0099999999999998</v>
      </c>
      <c r="J145" s="5">
        <v>4.6000000000000005</v>
      </c>
      <c r="K145">
        <f t="shared" ref="K145" si="128">G145*$V$2/$R$2</f>
        <v>59822.995220688994</v>
      </c>
      <c r="L145" s="10">
        <v>96</v>
      </c>
      <c r="M145" s="8">
        <f t="shared" si="114"/>
        <v>3.4187108895913076</v>
      </c>
      <c r="N145">
        <v>0.54896142433234418</v>
      </c>
      <c r="O145">
        <v>0.442</v>
      </c>
      <c r="P145" s="14">
        <v>305.25</v>
      </c>
    </row>
    <row r="146" spans="1:16" x14ac:dyDescent="0.35">
      <c r="A146" s="5">
        <v>2009</v>
      </c>
      <c r="B146" s="5">
        <v>20</v>
      </c>
      <c r="C146" s="5" t="s">
        <v>13</v>
      </c>
      <c r="D146" s="5" t="s">
        <v>61</v>
      </c>
      <c r="E146" s="5">
        <v>125</v>
      </c>
      <c r="F146" s="5">
        <v>2832704</v>
      </c>
      <c r="G146" s="5">
        <v>39382</v>
      </c>
      <c r="H146" s="5">
        <f t="shared" si="90"/>
        <v>4.4127448543864807</v>
      </c>
      <c r="I146" s="6">
        <v>1.99</v>
      </c>
      <c r="J146" s="5">
        <v>6.9</v>
      </c>
      <c r="K146">
        <f t="shared" ref="K146" si="129">G146*$V$2/$R$3</f>
        <v>57583.075171182594</v>
      </c>
      <c r="L146" s="10">
        <v>148</v>
      </c>
      <c r="M146" s="8">
        <f t="shared" si="114"/>
        <v>5.2246899075935929</v>
      </c>
      <c r="N146">
        <v>0.52356020942408377</v>
      </c>
      <c r="O146">
        <v>0.44400000000000001</v>
      </c>
      <c r="P146" s="14">
        <v>306.55</v>
      </c>
    </row>
    <row r="147" spans="1:16" x14ac:dyDescent="0.35">
      <c r="A147" s="5">
        <v>2010</v>
      </c>
      <c r="B147" s="5">
        <v>20</v>
      </c>
      <c r="C147" s="5" t="s">
        <v>13</v>
      </c>
      <c r="D147" s="5" t="s">
        <v>61</v>
      </c>
      <c r="E147" s="5">
        <v>97</v>
      </c>
      <c r="F147" s="5">
        <v>2858835</v>
      </c>
      <c r="G147" s="5">
        <v>39821</v>
      </c>
      <c r="H147" s="5">
        <f t="shared" si="90"/>
        <v>3.3929905013755599</v>
      </c>
      <c r="I147" s="6">
        <v>1.95</v>
      </c>
      <c r="J147" s="5">
        <v>7</v>
      </c>
      <c r="K147">
        <f t="shared" ref="K147" si="130">G147*$V$2/$R$4</f>
        <v>57285.328855890235</v>
      </c>
      <c r="L147" s="10">
        <v>104</v>
      </c>
      <c r="M147" s="8">
        <f t="shared" si="114"/>
        <v>3.6378454860109102</v>
      </c>
      <c r="N147">
        <v>0.52369077306733169</v>
      </c>
      <c r="O147">
        <v>0.44500000000000001</v>
      </c>
      <c r="P147" s="14">
        <v>316.56</v>
      </c>
    </row>
    <row r="148" spans="1:16" x14ac:dyDescent="0.35">
      <c r="A148" s="5">
        <v>2011</v>
      </c>
      <c r="B148" s="5">
        <v>20</v>
      </c>
      <c r="C148" s="5" t="s">
        <v>13</v>
      </c>
      <c r="D148" s="5" t="s">
        <v>61</v>
      </c>
      <c r="E148" s="5">
        <v>111</v>
      </c>
      <c r="F148" s="5">
        <v>2872529</v>
      </c>
      <c r="G148" s="5">
        <v>42889</v>
      </c>
      <c r="H148" s="5">
        <f t="shared" si="90"/>
        <v>3.8641907531655901</v>
      </c>
      <c r="I148" s="6">
        <v>1.9</v>
      </c>
      <c r="J148" s="5">
        <v>6.4</v>
      </c>
      <c r="K148">
        <f t="shared" ref="K148" si="131">G148*$V$2/$R$5</f>
        <v>59810.915497090333</v>
      </c>
      <c r="L148" s="10">
        <v>118</v>
      </c>
      <c r="M148" s="8">
        <f t="shared" si="114"/>
        <v>4.1078784583201768</v>
      </c>
      <c r="N148">
        <v>0.59137055837563457</v>
      </c>
      <c r="O148">
        <v>0.44419999999999998</v>
      </c>
      <c r="P148" s="14">
        <v>324.00109216193101</v>
      </c>
    </row>
    <row r="149" spans="1:16" x14ac:dyDescent="0.35">
      <c r="A149" s="5">
        <v>2012</v>
      </c>
      <c r="B149" s="5">
        <v>20</v>
      </c>
      <c r="C149" s="5" t="s">
        <v>13</v>
      </c>
      <c r="D149" s="5" t="s">
        <v>61</v>
      </c>
      <c r="E149" s="5">
        <v>85</v>
      </c>
      <c r="F149" s="5">
        <v>2891164</v>
      </c>
      <c r="G149" s="5">
        <v>44913</v>
      </c>
      <c r="H149" s="5">
        <f t="shared" si="90"/>
        <v>2.9399923352670414</v>
      </c>
      <c r="I149" s="6">
        <v>1.95</v>
      </c>
      <c r="J149" s="5">
        <v>5.7</v>
      </c>
      <c r="K149">
        <f t="shared" ref="K149" si="132">G149*$V$2/$R$6</f>
        <v>61363.598600137637</v>
      </c>
      <c r="L149" s="10">
        <v>171</v>
      </c>
      <c r="M149" s="8">
        <f t="shared" si="114"/>
        <v>5.9145728156548714</v>
      </c>
      <c r="N149">
        <v>0.5916334661354582</v>
      </c>
      <c r="O149">
        <v>0.4496</v>
      </c>
      <c r="P149" s="14">
        <v>324.57709655806002</v>
      </c>
    </row>
    <row r="150" spans="1:16" x14ac:dyDescent="0.35">
      <c r="A150" s="5">
        <v>2013</v>
      </c>
      <c r="B150" s="5">
        <v>20</v>
      </c>
      <c r="C150" s="5" t="s">
        <v>13</v>
      </c>
      <c r="D150" s="5" t="s">
        <v>61</v>
      </c>
      <c r="E150" s="5">
        <v>117</v>
      </c>
      <c r="F150" s="5">
        <v>2901727</v>
      </c>
      <c r="G150" s="5">
        <v>45669</v>
      </c>
      <c r="H150" s="5">
        <f t="shared" si="90"/>
        <v>4.032081584518461</v>
      </c>
      <c r="I150" s="6">
        <v>1.88</v>
      </c>
      <c r="J150" s="5">
        <v>5.3000000000000007</v>
      </c>
      <c r="K150">
        <f t="shared" ref="K150" si="133">G150*$V$2/$R$7</f>
        <v>61495.739303820024</v>
      </c>
      <c r="L150" s="10">
        <v>158</v>
      </c>
      <c r="M150" s="8">
        <f t="shared" si="114"/>
        <v>5.4450332508881782</v>
      </c>
      <c r="N150">
        <v>0.56705882352941173</v>
      </c>
      <c r="O150">
        <v>0.45889999999999997</v>
      </c>
      <c r="P150" s="14">
        <v>327.72394239560498</v>
      </c>
    </row>
    <row r="151" spans="1:16" x14ac:dyDescent="0.35">
      <c r="A151" s="5">
        <v>2014</v>
      </c>
      <c r="B151" s="5">
        <v>20</v>
      </c>
      <c r="C151" s="5" t="s">
        <v>13</v>
      </c>
      <c r="D151" s="5" t="s">
        <v>61</v>
      </c>
      <c r="E151" s="5">
        <v>92</v>
      </c>
      <c r="F151" s="5">
        <v>2911564</v>
      </c>
      <c r="G151" s="5">
        <v>46289</v>
      </c>
      <c r="H151" s="5">
        <f t="shared" si="90"/>
        <v>3.1598137633244541</v>
      </c>
      <c r="I151" s="6">
        <v>1.93</v>
      </c>
      <c r="J151" s="5">
        <v>4.5</v>
      </c>
      <c r="K151">
        <f t="shared" ref="K151" si="134">G151*$V$2/$R$8</f>
        <v>61335.623314578275</v>
      </c>
      <c r="L151" s="10">
        <v>173</v>
      </c>
      <c r="M151" s="8">
        <f t="shared" si="114"/>
        <v>5.9418237071209834</v>
      </c>
      <c r="N151">
        <v>0.52307692307692311</v>
      </c>
      <c r="O151">
        <v>0.4597</v>
      </c>
      <c r="P151" s="14">
        <v>328.83210787811299</v>
      </c>
    </row>
    <row r="152" spans="1:16" x14ac:dyDescent="0.35">
      <c r="A152" s="5">
        <v>2015</v>
      </c>
      <c r="B152" s="5">
        <v>20</v>
      </c>
      <c r="C152" s="5" t="s">
        <v>13</v>
      </c>
      <c r="D152" s="5" t="s">
        <v>61</v>
      </c>
      <c r="E152" s="5">
        <v>126</v>
      </c>
      <c r="F152" s="5">
        <v>2922703</v>
      </c>
      <c r="G152" s="5">
        <v>46597</v>
      </c>
      <c r="H152" s="5">
        <f t="shared" si="90"/>
        <v>4.3110777933987814</v>
      </c>
      <c r="I152" s="6">
        <v>1.91</v>
      </c>
      <c r="J152" s="5">
        <v>4.2</v>
      </c>
      <c r="K152">
        <f t="shared" ref="K152" si="135">G152*$V$2/$R$9</f>
        <v>61670.539805161658</v>
      </c>
      <c r="L152" s="10">
        <v>150</v>
      </c>
      <c r="M152" s="8">
        <f t="shared" si="114"/>
        <v>5.1322354683318832</v>
      </c>
      <c r="N152">
        <v>0.46960167714884699</v>
      </c>
      <c r="O152">
        <v>0.45960000000000001</v>
      </c>
      <c r="P152" s="14">
        <v>329.43319467651401</v>
      </c>
    </row>
    <row r="153" spans="1:16" x14ac:dyDescent="0.35">
      <c r="A153" s="5">
        <v>2016</v>
      </c>
      <c r="B153" s="5">
        <v>20</v>
      </c>
      <c r="C153" s="5" t="s">
        <v>13</v>
      </c>
      <c r="D153" s="5" t="s">
        <v>61</v>
      </c>
      <c r="E153" s="5">
        <v>132</v>
      </c>
      <c r="F153" s="5">
        <v>2927251</v>
      </c>
      <c r="G153" s="5">
        <v>46717</v>
      </c>
      <c r="H153" s="5">
        <f t="shared" si="90"/>
        <v>4.5093502402083043</v>
      </c>
      <c r="I153" s="6">
        <v>1.92</v>
      </c>
      <c r="J153" s="5">
        <v>4</v>
      </c>
      <c r="K153">
        <f t="shared" ref="K153" si="136">G153*$V$2/$R$10</f>
        <v>61059.089997375078</v>
      </c>
      <c r="L153" s="10">
        <v>146</v>
      </c>
      <c r="M153" s="8">
        <f t="shared" si="114"/>
        <v>4.9876146596243371</v>
      </c>
      <c r="N153">
        <v>0.5</v>
      </c>
      <c r="O153">
        <v>0.45500000000000002</v>
      </c>
      <c r="P153" s="14">
        <v>330.72249881663998</v>
      </c>
    </row>
    <row r="154" spans="1:16" x14ac:dyDescent="0.35">
      <c r="A154" s="5">
        <v>2017</v>
      </c>
      <c r="B154" s="5">
        <v>20</v>
      </c>
      <c r="C154" s="5" t="s">
        <v>13</v>
      </c>
      <c r="D154" s="5" t="s">
        <v>61</v>
      </c>
      <c r="E154" s="5">
        <v>134</v>
      </c>
      <c r="F154" s="5">
        <v>2927448</v>
      </c>
      <c r="G154" s="5">
        <v>48271</v>
      </c>
      <c r="H154" s="5">
        <f t="shared" si="90"/>
        <v>4.5773656782289551</v>
      </c>
      <c r="I154" s="6">
        <v>1.98</v>
      </c>
      <c r="J154" s="5">
        <v>3.6</v>
      </c>
      <c r="K154">
        <f t="shared" ref="K154" si="137">G154*$V$2/$R$11</f>
        <v>61774.158448922979</v>
      </c>
      <c r="L154" s="10">
        <v>144</v>
      </c>
      <c r="M154" s="8">
        <f t="shared" si="114"/>
        <v>4.9189601318281317</v>
      </c>
      <c r="N154">
        <v>0.5714285714285714</v>
      </c>
      <c r="O154">
        <v>0.45390000000000003</v>
      </c>
      <c r="P154" s="14">
        <v>334.22094851980802</v>
      </c>
    </row>
    <row r="155" spans="1:16" x14ac:dyDescent="0.35">
      <c r="A155" s="5">
        <v>2018</v>
      </c>
      <c r="B155" s="5">
        <v>20</v>
      </c>
      <c r="C155" s="5" t="s">
        <v>13</v>
      </c>
      <c r="D155" s="5" t="s">
        <v>61</v>
      </c>
      <c r="E155" s="5">
        <v>122</v>
      </c>
      <c r="F155" s="5">
        <v>2931587</v>
      </c>
      <c r="G155" s="5">
        <v>50282</v>
      </c>
      <c r="H155" s="5">
        <f t="shared" si="90"/>
        <v>4.1615684610417496</v>
      </c>
      <c r="I155" s="6">
        <v>1.92</v>
      </c>
      <c r="J155" s="5">
        <v>3.4000000000000004</v>
      </c>
      <c r="K155">
        <f t="shared" ref="K155" si="138">G155*$V$2/$R$12</f>
        <v>62813.503000712844</v>
      </c>
      <c r="L155" s="10">
        <v>156</v>
      </c>
      <c r="M155" s="8">
        <f t="shared" si="114"/>
        <v>5.3213498354304347</v>
      </c>
      <c r="N155">
        <v>0.52517985611510787</v>
      </c>
      <c r="O155">
        <v>0.46329999999999999</v>
      </c>
      <c r="P155" s="14">
        <v>341.82054369961202</v>
      </c>
    </row>
    <row r="156" spans="1:16" x14ac:dyDescent="0.35">
      <c r="A156" s="5">
        <v>2008</v>
      </c>
      <c r="B156" s="5">
        <v>21</v>
      </c>
      <c r="C156" s="5" t="s">
        <v>14</v>
      </c>
      <c r="D156" s="5" t="s">
        <v>62</v>
      </c>
      <c r="E156" s="5">
        <v>201</v>
      </c>
      <c r="F156" s="5">
        <v>4289878</v>
      </c>
      <c r="G156" s="5">
        <v>32830</v>
      </c>
      <c r="H156" s="5">
        <f t="shared" si="90"/>
        <v>4.6854479311532868</v>
      </c>
      <c r="I156" s="6">
        <v>1.85</v>
      </c>
      <c r="J156" s="5">
        <v>6.5</v>
      </c>
      <c r="K156">
        <f t="shared" ref="K156" si="139">G156*$V$2/$R$2</f>
        <v>47832.170801150016</v>
      </c>
      <c r="L156" s="10">
        <v>365</v>
      </c>
      <c r="M156" s="8">
        <f t="shared" si="114"/>
        <v>8.5084004719947739</v>
      </c>
      <c r="N156">
        <v>0.64379084967320266</v>
      </c>
      <c r="O156">
        <v>0.46700000000000003</v>
      </c>
      <c r="P156" s="14">
        <v>491.12</v>
      </c>
    </row>
    <row r="157" spans="1:16" x14ac:dyDescent="0.35">
      <c r="A157" s="5">
        <v>2009</v>
      </c>
      <c r="B157" s="5">
        <v>21</v>
      </c>
      <c r="C157" s="5" t="s">
        <v>14</v>
      </c>
      <c r="D157" s="5" t="s">
        <v>62</v>
      </c>
      <c r="E157" s="5">
        <v>184</v>
      </c>
      <c r="F157" s="5">
        <v>4317074</v>
      </c>
      <c r="G157" s="5">
        <v>32198</v>
      </c>
      <c r="H157" s="5">
        <f t="shared" si="90"/>
        <v>4.2621460739380419</v>
      </c>
      <c r="I157" s="6">
        <v>1.85</v>
      </c>
      <c r="J157" s="5">
        <v>10.8</v>
      </c>
      <c r="K157">
        <f t="shared" ref="K157" si="140">G157*$V$2/$R$3</f>
        <v>47078.864820520466</v>
      </c>
      <c r="L157" s="10">
        <v>434</v>
      </c>
      <c r="M157" s="8">
        <f t="shared" si="114"/>
        <v>10.053105413527774</v>
      </c>
      <c r="N157">
        <v>0.6807432432432432</v>
      </c>
      <c r="O157">
        <v>0.46400000000000002</v>
      </c>
      <c r="P157" s="14">
        <v>479.17</v>
      </c>
    </row>
    <row r="158" spans="1:16" x14ac:dyDescent="0.35">
      <c r="A158" s="5">
        <v>2010</v>
      </c>
      <c r="B158" s="5">
        <v>21</v>
      </c>
      <c r="C158" s="5" t="s">
        <v>14</v>
      </c>
      <c r="D158" s="5" t="s">
        <v>62</v>
      </c>
      <c r="E158" s="5">
        <v>188</v>
      </c>
      <c r="F158" s="5">
        <v>4349159</v>
      </c>
      <c r="G158" s="5">
        <v>33187</v>
      </c>
      <c r="H158" s="5">
        <f t="shared" si="90"/>
        <v>4.322674797587303</v>
      </c>
      <c r="I158" s="6">
        <v>1.83</v>
      </c>
      <c r="J158" s="5">
        <v>10.3</v>
      </c>
      <c r="K158">
        <f t="shared" ref="K158" si="141">G158*$V$2/$R$4</f>
        <v>47741.849997248413</v>
      </c>
      <c r="L158" s="10">
        <v>591</v>
      </c>
      <c r="M158" s="8">
        <f t="shared" si="114"/>
        <v>13.588834071138811</v>
      </c>
      <c r="N158">
        <v>0.64025356576862125</v>
      </c>
      <c r="O158">
        <v>0.46600000000000003</v>
      </c>
      <c r="P158" s="14">
        <v>458.61</v>
      </c>
    </row>
    <row r="159" spans="1:16" x14ac:dyDescent="0.35">
      <c r="A159" s="5">
        <v>2011</v>
      </c>
      <c r="B159" s="5">
        <v>21</v>
      </c>
      <c r="C159" s="5" t="s">
        <v>14</v>
      </c>
      <c r="D159" s="5" t="s">
        <v>62</v>
      </c>
      <c r="E159" s="5">
        <v>151</v>
      </c>
      <c r="F159" s="5">
        <v>4374302</v>
      </c>
      <c r="G159" s="5">
        <v>34607</v>
      </c>
      <c r="H159" s="5">
        <f t="shared" si="90"/>
        <v>3.4519793100704983</v>
      </c>
      <c r="I159" s="6">
        <v>1.79</v>
      </c>
      <c r="J159" s="5">
        <v>9.4</v>
      </c>
      <c r="K159">
        <f t="shared" ref="K159" si="142">G159*$V$2/$R$5</f>
        <v>48261.240705257878</v>
      </c>
      <c r="L159" s="10">
        <v>669</v>
      </c>
      <c r="M159" s="8">
        <f t="shared" si="114"/>
        <v>15.293868598921613</v>
      </c>
      <c r="N159">
        <v>0.6711111111111111</v>
      </c>
      <c r="O159">
        <v>0.47089999999999999</v>
      </c>
      <c r="P159" s="14">
        <v>478.97270504818698</v>
      </c>
    </row>
    <row r="160" spans="1:16" x14ac:dyDescent="0.35">
      <c r="A160" s="5">
        <v>2012</v>
      </c>
      <c r="B160" s="5">
        <v>21</v>
      </c>
      <c r="C160" s="5" t="s">
        <v>14</v>
      </c>
      <c r="D160" s="5" t="s">
        <v>62</v>
      </c>
      <c r="E160" s="5">
        <v>201</v>
      </c>
      <c r="F160" s="5">
        <v>4394147</v>
      </c>
      <c r="G160" s="5">
        <v>35630</v>
      </c>
      <c r="H160" s="5">
        <f t="shared" si="90"/>
        <v>4.5742666324089756</v>
      </c>
      <c r="I160" s="6">
        <v>1.87</v>
      </c>
      <c r="J160" s="5">
        <v>8.2000000000000011</v>
      </c>
      <c r="K160">
        <f t="shared" ref="K160" si="143">G160*$V$2/$R$6</f>
        <v>48680.449271322424</v>
      </c>
      <c r="L160" s="10">
        <v>673</v>
      </c>
      <c r="M160" s="8">
        <f t="shared" si="114"/>
        <v>15.315828077667863</v>
      </c>
      <c r="N160">
        <v>0.64779005524861877</v>
      </c>
      <c r="O160">
        <v>0.4667</v>
      </c>
      <c r="P160" s="14">
        <v>489.188559104283</v>
      </c>
    </row>
    <row r="161" spans="1:16" x14ac:dyDescent="0.35">
      <c r="A161" s="5">
        <v>2013</v>
      </c>
      <c r="B161" s="5">
        <v>21</v>
      </c>
      <c r="C161" s="5" t="s">
        <v>14</v>
      </c>
      <c r="D161" s="5" t="s">
        <v>62</v>
      </c>
      <c r="E161" s="5">
        <v>172</v>
      </c>
      <c r="F161" s="5">
        <v>4415978</v>
      </c>
      <c r="G161" s="5">
        <v>35758</v>
      </c>
      <c r="H161" s="5">
        <f t="shared" si="90"/>
        <v>3.8949469404059531</v>
      </c>
      <c r="I161" s="6">
        <v>1.85</v>
      </c>
      <c r="J161" s="5">
        <v>7.9</v>
      </c>
      <c r="K161">
        <f t="shared" ref="K161" si="144">G161*$V$2/$R$7</f>
        <v>48150.050275372712</v>
      </c>
      <c r="L161" s="10">
        <v>665</v>
      </c>
      <c r="M161" s="8">
        <f t="shared" si="114"/>
        <v>15.058951833546272</v>
      </c>
      <c r="N161">
        <v>0.64621968616262482</v>
      </c>
      <c r="O161">
        <v>0.47210000000000002</v>
      </c>
      <c r="P161" s="14">
        <v>461.26089170147901</v>
      </c>
    </row>
    <row r="162" spans="1:16" x14ac:dyDescent="0.35">
      <c r="A162" s="5">
        <v>2014</v>
      </c>
      <c r="B162" s="5">
        <v>21</v>
      </c>
      <c r="C162" s="5" t="s">
        <v>14</v>
      </c>
      <c r="D162" s="5" t="s">
        <v>62</v>
      </c>
      <c r="E162" s="5">
        <v>164</v>
      </c>
      <c r="F162" s="5">
        <v>4428854</v>
      </c>
      <c r="G162" s="5">
        <v>37225</v>
      </c>
      <c r="H162" s="5">
        <f t="shared" si="90"/>
        <v>3.702989531829227</v>
      </c>
      <c r="I162" s="6">
        <v>1.88</v>
      </c>
      <c r="J162" s="5">
        <v>6.4</v>
      </c>
      <c r="K162">
        <f t="shared" ref="K162" si="145">G162*$V$2/$R$8</f>
        <v>49325.294948803734</v>
      </c>
      <c r="L162" s="10">
        <v>729</v>
      </c>
      <c r="M162" s="8">
        <f t="shared" si="114"/>
        <v>16.460240053070162</v>
      </c>
      <c r="N162">
        <v>0.64560439560439564</v>
      </c>
      <c r="O162">
        <v>0.47039999999999998</v>
      </c>
      <c r="P162" s="14">
        <v>474.36046508997401</v>
      </c>
    </row>
    <row r="163" spans="1:16" x14ac:dyDescent="0.35">
      <c r="A163" s="5">
        <v>2015</v>
      </c>
      <c r="B163" s="5">
        <v>21</v>
      </c>
      <c r="C163" s="5" t="s">
        <v>14</v>
      </c>
      <c r="D163" s="5" t="s">
        <v>62</v>
      </c>
      <c r="E163" s="5">
        <v>219</v>
      </c>
      <c r="F163" s="5">
        <v>4443778</v>
      </c>
      <c r="G163" s="5">
        <v>38766</v>
      </c>
      <c r="H163" s="5">
        <f t="shared" si="90"/>
        <v>4.9282389894364655</v>
      </c>
      <c r="I163" s="6">
        <v>1.97</v>
      </c>
      <c r="J163" s="5">
        <v>5.2</v>
      </c>
      <c r="K163">
        <f t="shared" ref="K163" si="146">G163*$V$2/$R$9</f>
        <v>51306.310408114186</v>
      </c>
      <c r="L163" s="10">
        <v>885</v>
      </c>
      <c r="M163" s="8">
        <f t="shared" si="114"/>
        <v>19.915486327174758</v>
      </c>
      <c r="N163">
        <v>0.64304123711340211</v>
      </c>
      <c r="O163">
        <v>0.47810000000000002</v>
      </c>
      <c r="P163" s="14">
        <v>489.62770962912703</v>
      </c>
    </row>
    <row r="164" spans="1:16" x14ac:dyDescent="0.35">
      <c r="A164" s="5">
        <v>2016</v>
      </c>
      <c r="B164" s="5">
        <v>21</v>
      </c>
      <c r="C164" s="5" t="s">
        <v>14</v>
      </c>
      <c r="D164" s="5" t="s">
        <v>62</v>
      </c>
      <c r="E164" s="5">
        <v>265</v>
      </c>
      <c r="F164" s="5">
        <v>4457755</v>
      </c>
      <c r="G164" s="5">
        <v>39319</v>
      </c>
      <c r="H164" s="5">
        <f t="shared" si="90"/>
        <v>5.9446963774366246</v>
      </c>
      <c r="I164" s="6">
        <v>1.98</v>
      </c>
      <c r="J164" s="5">
        <v>5</v>
      </c>
      <c r="K164">
        <f t="shared" ref="K164" si="147">G164*$V$2/$R$10</f>
        <v>51389.908590166124</v>
      </c>
      <c r="L164" s="10">
        <v>989</v>
      </c>
      <c r="M164" s="8">
        <f t="shared" si="114"/>
        <v>22.186055536923856</v>
      </c>
      <c r="N164">
        <v>0.65476190476190477</v>
      </c>
      <c r="O164">
        <v>0.48130000000000001</v>
      </c>
      <c r="P164" s="14">
        <v>517.69084424000903</v>
      </c>
    </row>
    <row r="165" spans="1:16" x14ac:dyDescent="0.35">
      <c r="A165" s="5">
        <v>2017</v>
      </c>
      <c r="B165" s="5">
        <v>21</v>
      </c>
      <c r="C165" s="5" t="s">
        <v>14</v>
      </c>
      <c r="D165" s="5" t="s">
        <v>62</v>
      </c>
      <c r="E165" s="5">
        <v>265</v>
      </c>
      <c r="F165" s="5">
        <v>4475829</v>
      </c>
      <c r="G165" s="5">
        <v>40403</v>
      </c>
      <c r="H165" s="5">
        <f t="shared" si="90"/>
        <v>5.9206908932401126</v>
      </c>
      <c r="I165" s="6">
        <v>1.97</v>
      </c>
      <c r="J165" s="5">
        <v>4.8000000000000007</v>
      </c>
      <c r="K165">
        <f t="shared" ref="K165" si="148">G165*$V$2/$R$11</f>
        <v>51705.192016155357</v>
      </c>
      <c r="L165" s="10">
        <v>1160</v>
      </c>
      <c r="M165" s="8">
        <f t="shared" si="114"/>
        <v>25.916986551541623</v>
      </c>
      <c r="N165">
        <v>0.61038961038961037</v>
      </c>
      <c r="O165">
        <v>0.47839999999999999</v>
      </c>
      <c r="P165" s="14">
        <v>527.572079179517</v>
      </c>
    </row>
    <row r="166" spans="1:16" x14ac:dyDescent="0.35">
      <c r="A166" s="5">
        <v>2018</v>
      </c>
      <c r="B166" s="5">
        <v>21</v>
      </c>
      <c r="C166" s="5" t="s">
        <v>14</v>
      </c>
      <c r="D166" s="5" t="s">
        <v>62</v>
      </c>
      <c r="E166" s="5">
        <v>250</v>
      </c>
      <c r="F166" s="5">
        <v>4487302</v>
      </c>
      <c r="G166" s="5">
        <v>41658</v>
      </c>
      <c r="H166" s="5">
        <f t="shared" si="90"/>
        <v>5.5712764596632898</v>
      </c>
      <c r="I166" s="6">
        <v>1.95</v>
      </c>
      <c r="J166" s="5">
        <v>4.2</v>
      </c>
      <c r="K166">
        <f t="shared" ref="K166" si="149">G166*$V$2/$R$12</f>
        <v>52040.191480126006</v>
      </c>
      <c r="L166" s="10">
        <v>989</v>
      </c>
      <c r="M166" s="8">
        <f t="shared" si="114"/>
        <v>22.039969674427976</v>
      </c>
      <c r="N166">
        <v>0.63624999999999998</v>
      </c>
      <c r="O166">
        <v>0.47870000000000001</v>
      </c>
      <c r="P166" s="14">
        <v>524.64924285636505</v>
      </c>
    </row>
    <row r="167" spans="1:16" x14ac:dyDescent="0.35">
      <c r="A167" s="5">
        <v>2008</v>
      </c>
      <c r="B167" s="5">
        <v>22</v>
      </c>
      <c r="C167" s="5" t="s">
        <v>15</v>
      </c>
      <c r="D167" s="5" t="s">
        <v>63</v>
      </c>
      <c r="E167" s="5">
        <v>544</v>
      </c>
      <c r="F167" s="5">
        <v>4435586</v>
      </c>
      <c r="G167" s="5">
        <v>38328</v>
      </c>
      <c r="H167" s="5">
        <f t="shared" si="90"/>
        <v>12.264444878309202</v>
      </c>
      <c r="I167" s="6">
        <v>2.64</v>
      </c>
      <c r="J167" s="5">
        <v>4.7</v>
      </c>
      <c r="K167">
        <f t="shared" ref="K167" si="150">G167*$V$2/$R$2</f>
        <v>55842.566020910068</v>
      </c>
      <c r="L167" s="10">
        <v>130</v>
      </c>
      <c r="M167" s="8">
        <f t="shared" si="114"/>
        <v>2.9308416069488903</v>
      </c>
      <c r="N167">
        <v>0.65977443609022557</v>
      </c>
      <c r="O167">
        <v>0.47699999999999998</v>
      </c>
      <c r="P167" s="14">
        <v>849.24</v>
      </c>
    </row>
    <row r="168" spans="1:16" x14ac:dyDescent="0.35">
      <c r="A168" s="5">
        <v>2009</v>
      </c>
      <c r="B168" s="5">
        <v>22</v>
      </c>
      <c r="C168" s="5" t="s">
        <v>15</v>
      </c>
      <c r="D168" s="5" t="s">
        <v>63</v>
      </c>
      <c r="E168" s="5">
        <v>529</v>
      </c>
      <c r="F168" s="5">
        <v>4491648</v>
      </c>
      <c r="G168" s="5">
        <v>36803</v>
      </c>
      <c r="H168" s="5">
        <f t="shared" si="90"/>
        <v>11.777414436750163</v>
      </c>
      <c r="I168" s="6">
        <v>2.63</v>
      </c>
      <c r="J168" s="5">
        <v>6.8000000000000007</v>
      </c>
      <c r="K168">
        <f t="shared" ref="K168" si="151">G168*$V$2/$R$3</f>
        <v>53812.14553666734</v>
      </c>
      <c r="L168" s="10">
        <v>122</v>
      </c>
      <c r="M168" s="8">
        <f t="shared" si="114"/>
        <v>2.7161522897609074</v>
      </c>
      <c r="N168">
        <v>0.66938775510204085</v>
      </c>
      <c r="O168">
        <v>0.47299999999999998</v>
      </c>
      <c r="P168" s="14">
        <v>885.56</v>
      </c>
    </row>
    <row r="169" spans="1:16" x14ac:dyDescent="0.35">
      <c r="A169" s="5">
        <v>2010</v>
      </c>
      <c r="B169" s="5">
        <v>22</v>
      </c>
      <c r="C169" s="5" t="s">
        <v>15</v>
      </c>
      <c r="D169" s="5" t="s">
        <v>63</v>
      </c>
      <c r="E169" s="5">
        <v>500</v>
      </c>
      <c r="F169" s="5">
        <v>4544804</v>
      </c>
      <c r="G169" s="5">
        <v>38067</v>
      </c>
      <c r="H169" s="5">
        <f t="shared" si="90"/>
        <v>11.00157454534893</v>
      </c>
      <c r="I169" s="6">
        <v>2.5499999999999998</v>
      </c>
      <c r="J169" s="5">
        <v>7.5</v>
      </c>
      <c r="K169">
        <f t="shared" ref="K169" si="152">G169*$V$2/$R$4</f>
        <v>54762.075627361781</v>
      </c>
      <c r="L169" s="10">
        <v>123</v>
      </c>
      <c r="M169" s="8">
        <f t="shared" si="114"/>
        <v>2.7063873381558365</v>
      </c>
      <c r="N169">
        <v>0.69120287253141832</v>
      </c>
      <c r="O169">
        <v>0.47499999999999998</v>
      </c>
      <c r="P169" s="14">
        <v>867.79</v>
      </c>
    </row>
    <row r="170" spans="1:16" x14ac:dyDescent="0.35">
      <c r="A170" s="5">
        <v>2011</v>
      </c>
      <c r="B170" s="5">
        <v>22</v>
      </c>
      <c r="C170" s="5" t="s">
        <v>15</v>
      </c>
      <c r="D170" s="5" t="s">
        <v>63</v>
      </c>
      <c r="E170" s="5">
        <v>506</v>
      </c>
      <c r="F170" s="5">
        <v>4577089</v>
      </c>
      <c r="G170" s="5">
        <v>38966</v>
      </c>
      <c r="H170" s="5">
        <f t="shared" si="90"/>
        <v>11.055061415672712</v>
      </c>
      <c r="I170" s="6">
        <v>2.57</v>
      </c>
      <c r="J170" s="5">
        <v>7.4</v>
      </c>
      <c r="K170">
        <f t="shared" ref="K170" si="153">G170*$V$2/$R$5</f>
        <v>54340.090308928207</v>
      </c>
      <c r="L170" s="10">
        <v>116</v>
      </c>
      <c r="M170" s="8">
        <f t="shared" si="114"/>
        <v>2.5343619055692383</v>
      </c>
      <c r="N170">
        <v>0.65794066317626532</v>
      </c>
      <c r="O170">
        <v>0.48359999999999997</v>
      </c>
      <c r="P170" s="14">
        <v>865.24989595385796</v>
      </c>
    </row>
    <row r="171" spans="1:16" x14ac:dyDescent="0.35">
      <c r="A171" s="5">
        <v>2012</v>
      </c>
      <c r="B171" s="5">
        <v>22</v>
      </c>
      <c r="C171" s="5" t="s">
        <v>15</v>
      </c>
      <c r="D171" s="5" t="s">
        <v>63</v>
      </c>
      <c r="E171" s="5">
        <v>489</v>
      </c>
      <c r="F171" s="5">
        <v>4603590</v>
      </c>
      <c r="G171" s="5">
        <v>40662</v>
      </c>
      <c r="H171" s="5">
        <f t="shared" si="90"/>
        <v>10.62214489126964</v>
      </c>
      <c r="I171" s="6">
        <v>2.59</v>
      </c>
      <c r="J171" s="5">
        <v>6.7</v>
      </c>
      <c r="K171">
        <f t="shared" ref="K171" si="154">G171*$V$2/$R$6</f>
        <v>55555.555101614162</v>
      </c>
      <c r="L171" s="10">
        <v>169</v>
      </c>
      <c r="M171" s="8">
        <f t="shared" si="114"/>
        <v>3.671048029907094</v>
      </c>
      <c r="N171">
        <v>0.66137566137566139</v>
      </c>
      <c r="O171">
        <v>0.4859</v>
      </c>
      <c r="P171" s="14">
        <v>870.12011426581103</v>
      </c>
    </row>
    <row r="172" spans="1:16" x14ac:dyDescent="0.35">
      <c r="A172" s="5">
        <v>2013</v>
      </c>
      <c r="B172" s="5">
        <v>22</v>
      </c>
      <c r="C172" s="5" t="s">
        <v>15</v>
      </c>
      <c r="D172" s="5" t="s">
        <v>63</v>
      </c>
      <c r="E172" s="5">
        <v>494</v>
      </c>
      <c r="F172" s="5">
        <v>4628239</v>
      </c>
      <c r="G172" s="5">
        <v>40996</v>
      </c>
      <c r="H172" s="5">
        <f t="shared" si="90"/>
        <v>10.673606095104423</v>
      </c>
      <c r="I172" s="6">
        <v>2.59</v>
      </c>
      <c r="J172" s="5">
        <v>6.4</v>
      </c>
      <c r="K172">
        <f t="shared" ref="K172" si="155">G172*$V$2/$R$7</f>
        <v>55203.296076099883</v>
      </c>
      <c r="L172" s="10">
        <v>265</v>
      </c>
      <c r="M172" s="8">
        <f t="shared" si="114"/>
        <v>5.7257198688313204</v>
      </c>
      <c r="N172">
        <v>0.69982847341337906</v>
      </c>
      <c r="O172">
        <v>0.4914</v>
      </c>
      <c r="P172" s="14">
        <v>846.81080852783998</v>
      </c>
    </row>
    <row r="173" spans="1:16" x14ac:dyDescent="0.35">
      <c r="A173" s="5">
        <v>2014</v>
      </c>
      <c r="B173" s="5">
        <v>22</v>
      </c>
      <c r="C173" s="5" t="s">
        <v>15</v>
      </c>
      <c r="D173" s="5" t="s">
        <v>63</v>
      </c>
      <c r="E173" s="5">
        <v>476</v>
      </c>
      <c r="F173" s="5">
        <v>4648813</v>
      </c>
      <c r="G173" s="5">
        <v>42533</v>
      </c>
      <c r="H173" s="5">
        <f t="shared" ref="H173:H236" si="156">E173/F173*100000</f>
        <v>10.239172881335515</v>
      </c>
      <c r="I173" s="6">
        <v>2.59</v>
      </c>
      <c r="J173" s="5">
        <v>6.3000000000000007</v>
      </c>
      <c r="K173">
        <f t="shared" ref="K173" si="157">G173*$V$2/$R$8</f>
        <v>56358.704366889709</v>
      </c>
      <c r="L173" s="10">
        <v>260</v>
      </c>
      <c r="M173" s="8">
        <f t="shared" si="114"/>
        <v>5.5928255234185587</v>
      </c>
      <c r="N173">
        <v>0.65390279823269515</v>
      </c>
      <c r="O173">
        <v>0.49020000000000002</v>
      </c>
      <c r="P173" s="14">
        <v>815.62275163169602</v>
      </c>
    </row>
    <row r="174" spans="1:16" x14ac:dyDescent="0.35">
      <c r="A174" s="5">
        <v>2015</v>
      </c>
      <c r="B174" s="5">
        <v>22</v>
      </c>
      <c r="C174" s="5" t="s">
        <v>15</v>
      </c>
      <c r="D174" s="5" t="s">
        <v>63</v>
      </c>
      <c r="E174" s="5">
        <v>492</v>
      </c>
      <c r="F174" s="5">
        <v>4670550</v>
      </c>
      <c r="G174" s="5">
        <v>42484</v>
      </c>
      <c r="H174" s="5">
        <f t="shared" si="156"/>
        <v>10.534091274046954</v>
      </c>
      <c r="I174" s="6">
        <v>2.59</v>
      </c>
      <c r="J174" s="5">
        <v>6.3000000000000007</v>
      </c>
      <c r="K174">
        <f t="shared" ref="K174" si="158">G174*$V$2/$R$9</f>
        <v>56227.036356041979</v>
      </c>
      <c r="L174" s="10">
        <v>287</v>
      </c>
      <c r="M174" s="8">
        <f t="shared" si="114"/>
        <v>6.1448865765273899</v>
      </c>
      <c r="N174">
        <v>0.64819944598337953</v>
      </c>
      <c r="O174">
        <v>0.4909</v>
      </c>
      <c r="P174" s="14">
        <v>777.31465343019704</v>
      </c>
    </row>
    <row r="175" spans="1:16" x14ac:dyDescent="0.35">
      <c r="A175" s="5">
        <v>2016</v>
      </c>
      <c r="B175" s="5">
        <v>22</v>
      </c>
      <c r="C175" s="5" t="s">
        <v>15</v>
      </c>
      <c r="D175" s="5" t="s">
        <v>63</v>
      </c>
      <c r="E175" s="5">
        <v>555</v>
      </c>
      <c r="F175" s="5">
        <v>4685576</v>
      </c>
      <c r="G175" s="5">
        <v>42132</v>
      </c>
      <c r="H175" s="5">
        <f t="shared" si="156"/>
        <v>11.844861762993494</v>
      </c>
      <c r="I175" s="6">
        <v>2.59</v>
      </c>
      <c r="J175" s="5">
        <v>6.1000000000000005</v>
      </c>
      <c r="K175">
        <f t="shared" ref="K175" si="159">G175*$V$2/$R$10</f>
        <v>55066.497843812889</v>
      </c>
      <c r="L175" s="10">
        <v>346</v>
      </c>
      <c r="M175" s="8">
        <f t="shared" si="114"/>
        <v>7.3843642702626093</v>
      </c>
      <c r="N175">
        <v>0.64992614475627775</v>
      </c>
      <c r="O175">
        <v>0.499</v>
      </c>
      <c r="P175" s="14">
        <v>760.59500780310805</v>
      </c>
    </row>
    <row r="176" spans="1:16" x14ac:dyDescent="0.35">
      <c r="A176" s="5">
        <v>2017</v>
      </c>
      <c r="B176" s="5">
        <v>22</v>
      </c>
      <c r="C176" s="5" t="s">
        <v>15</v>
      </c>
      <c r="D176" s="5" t="s">
        <v>63</v>
      </c>
      <c r="E176" s="5">
        <v>576</v>
      </c>
      <c r="F176" s="5">
        <v>4678580</v>
      </c>
      <c r="G176" s="5">
        <v>43486</v>
      </c>
      <c r="H176" s="5">
        <f t="shared" si="156"/>
        <v>12.311427826391768</v>
      </c>
      <c r="I176" s="6">
        <v>2.57</v>
      </c>
      <c r="J176" s="5">
        <v>5.1000000000000005</v>
      </c>
      <c r="K176">
        <f t="shared" ref="K176" si="160">G176*$V$2/$R$11</f>
        <v>55650.619508812008</v>
      </c>
      <c r="L176" s="10">
        <v>415</v>
      </c>
      <c r="M176" s="8">
        <f t="shared" si="114"/>
        <v>8.8702127568621254</v>
      </c>
      <c r="N176">
        <v>0.6166666666666667</v>
      </c>
      <c r="O176">
        <v>0.49349999999999999</v>
      </c>
      <c r="P176" s="14">
        <v>722.340876487125</v>
      </c>
    </row>
    <row r="177" spans="1:16" x14ac:dyDescent="0.35">
      <c r="A177" s="5">
        <v>2018</v>
      </c>
      <c r="B177" s="5">
        <v>22</v>
      </c>
      <c r="C177" s="5" t="s">
        <v>15</v>
      </c>
      <c r="D177" s="5" t="s">
        <v>63</v>
      </c>
      <c r="E177" s="5">
        <v>533</v>
      </c>
      <c r="F177" s="5">
        <v>4670033</v>
      </c>
      <c r="G177" s="5">
        <v>45465</v>
      </c>
      <c r="H177" s="5">
        <f t="shared" si="156"/>
        <v>11.413195581273195</v>
      </c>
      <c r="I177" s="6">
        <v>2.5499999999999998</v>
      </c>
      <c r="J177" s="5">
        <v>4.8000000000000007</v>
      </c>
      <c r="K177">
        <f t="shared" ref="K177" si="161">G177*$V$2/$R$12</f>
        <v>56795.988901145734</v>
      </c>
      <c r="L177" s="10">
        <v>444</v>
      </c>
      <c r="M177" s="8">
        <f t="shared" si="114"/>
        <v>9.5074274635746683</v>
      </c>
      <c r="N177">
        <v>0.64861111111111114</v>
      </c>
      <c r="O177">
        <v>0.49359999999999998</v>
      </c>
      <c r="P177" s="14">
        <v>695.20746349161902</v>
      </c>
    </row>
    <row r="178" spans="1:16" x14ac:dyDescent="0.35">
      <c r="A178" s="5">
        <v>2008</v>
      </c>
      <c r="B178" s="5">
        <v>23</v>
      </c>
      <c r="C178" s="5" t="s">
        <v>16</v>
      </c>
      <c r="D178" s="5" t="s">
        <v>64</v>
      </c>
      <c r="E178" s="5">
        <v>31</v>
      </c>
      <c r="F178" s="5">
        <v>1330509</v>
      </c>
      <c r="G178" s="5">
        <v>36960</v>
      </c>
      <c r="H178" s="5">
        <f t="shared" si="156"/>
        <v>2.3299353856306118</v>
      </c>
      <c r="I178" s="6">
        <v>2.56</v>
      </c>
      <c r="J178" s="5">
        <v>5.3000000000000007</v>
      </c>
      <c r="K178">
        <f t="shared" ref="K178" si="162">G178*$V$2/$R$2</f>
        <v>53849.437490420481</v>
      </c>
      <c r="L178" s="10">
        <v>105</v>
      </c>
      <c r="M178" s="8">
        <f t="shared" si="114"/>
        <v>7.8917166287488474</v>
      </c>
      <c r="N178">
        <v>0.56906077348066297</v>
      </c>
      <c r="O178">
        <v>0.436</v>
      </c>
      <c r="P178" s="14">
        <v>150.41</v>
      </c>
    </row>
    <row r="179" spans="1:16" x14ac:dyDescent="0.35">
      <c r="A179" s="5">
        <v>2009</v>
      </c>
      <c r="B179" s="5">
        <v>23</v>
      </c>
      <c r="C179" s="5" t="s">
        <v>16</v>
      </c>
      <c r="D179" s="5" t="s">
        <v>64</v>
      </c>
      <c r="E179" s="5">
        <v>26</v>
      </c>
      <c r="F179" s="5">
        <v>1329590</v>
      </c>
      <c r="G179" s="5">
        <v>37107</v>
      </c>
      <c r="H179" s="5">
        <f t="shared" si="156"/>
        <v>1.9554900382824782</v>
      </c>
      <c r="I179" s="6">
        <v>2.5499999999999998</v>
      </c>
      <c r="J179" s="5">
        <v>8.4</v>
      </c>
      <c r="K179">
        <f t="shared" ref="K179" si="163">G179*$V$2/$R$3</f>
        <v>54256.644415648589</v>
      </c>
      <c r="L179" s="10">
        <v>114</v>
      </c>
      <c r="M179" s="8">
        <f t="shared" si="114"/>
        <v>8.5740717063154808</v>
      </c>
      <c r="N179">
        <v>0.53807106598984766</v>
      </c>
      <c r="O179">
        <v>0.432</v>
      </c>
      <c r="P179" s="14">
        <v>150.19</v>
      </c>
    </row>
    <row r="180" spans="1:16" x14ac:dyDescent="0.35">
      <c r="A180" s="5">
        <v>2010</v>
      </c>
      <c r="B180" s="5">
        <v>23</v>
      </c>
      <c r="C180" s="5" t="s">
        <v>16</v>
      </c>
      <c r="D180" s="5" t="s">
        <v>64</v>
      </c>
      <c r="E180" s="5">
        <v>24</v>
      </c>
      <c r="F180" s="5">
        <v>1327967</v>
      </c>
      <c r="G180" s="5">
        <v>38018</v>
      </c>
      <c r="H180" s="5">
        <f t="shared" si="156"/>
        <v>1.807273825328491</v>
      </c>
      <c r="I180" s="6">
        <v>2.56</v>
      </c>
      <c r="J180" s="5">
        <v>8.4</v>
      </c>
      <c r="K180">
        <f t="shared" ref="K180" si="164">G180*$V$2/$R$4</f>
        <v>54691.585656895477</v>
      </c>
      <c r="L180" s="10">
        <v>90</v>
      </c>
      <c r="M180" s="8">
        <f t="shared" si="114"/>
        <v>6.7772768449818397</v>
      </c>
      <c r="N180">
        <v>0.510752688172043</v>
      </c>
      <c r="O180">
        <v>0.437</v>
      </c>
      <c r="P180" s="14">
        <v>146.30000000000001</v>
      </c>
    </row>
    <row r="181" spans="1:16" x14ac:dyDescent="0.35">
      <c r="A181" s="5">
        <v>2011</v>
      </c>
      <c r="B181" s="5">
        <v>23</v>
      </c>
      <c r="C181" s="5" t="s">
        <v>16</v>
      </c>
      <c r="D181" s="5" t="s">
        <v>64</v>
      </c>
      <c r="E181" s="5">
        <v>26</v>
      </c>
      <c r="F181" s="5">
        <v>1330060</v>
      </c>
      <c r="G181" s="5">
        <v>39502</v>
      </c>
      <c r="H181" s="5">
        <f t="shared" si="156"/>
        <v>1.9547990316226336</v>
      </c>
      <c r="I181" s="6">
        <v>2.6</v>
      </c>
      <c r="J181" s="5">
        <v>7.7</v>
      </c>
      <c r="K181">
        <f t="shared" ref="K181" si="165">G181*$V$2/$R$5</f>
        <v>55087.569865608013</v>
      </c>
      <c r="L181" s="10">
        <v>85</v>
      </c>
      <c r="M181" s="8">
        <f t="shared" si="114"/>
        <v>6.3906891418432252</v>
      </c>
      <c r="N181">
        <v>0.48085106382978721</v>
      </c>
      <c r="O181">
        <v>0.45090000000000002</v>
      </c>
      <c r="P181" s="14">
        <v>146.86453251634899</v>
      </c>
    </row>
    <row r="182" spans="1:16" x14ac:dyDescent="0.35">
      <c r="A182" s="5">
        <v>2012</v>
      </c>
      <c r="B182" s="5">
        <v>23</v>
      </c>
      <c r="C182" s="5" t="s">
        <v>16</v>
      </c>
      <c r="D182" s="5" t="s">
        <v>64</v>
      </c>
      <c r="E182" s="5">
        <v>26</v>
      </c>
      <c r="F182" s="5">
        <v>1330954</v>
      </c>
      <c r="G182" s="5">
        <v>39992</v>
      </c>
      <c r="H182" s="5">
        <f t="shared" si="156"/>
        <v>1.9534859957594328</v>
      </c>
      <c r="I182" s="6">
        <v>2.65</v>
      </c>
      <c r="J182" s="5">
        <v>7.2</v>
      </c>
      <c r="K182">
        <f t="shared" ref="K182" si="166">G182*$V$2/$R$6</f>
        <v>54640.149516102349</v>
      </c>
      <c r="L182" s="10">
        <v>100</v>
      </c>
      <c r="M182" s="8">
        <f t="shared" si="114"/>
        <v>7.5134076759978177</v>
      </c>
      <c r="N182">
        <v>0.53588516746411485</v>
      </c>
      <c r="O182">
        <v>0.44500000000000001</v>
      </c>
      <c r="P182" s="14">
        <v>145.36994468869199</v>
      </c>
    </row>
    <row r="183" spans="1:16" x14ac:dyDescent="0.35">
      <c r="A183" s="5">
        <v>2013</v>
      </c>
      <c r="B183" s="5">
        <v>23</v>
      </c>
      <c r="C183" s="5" t="s">
        <v>16</v>
      </c>
      <c r="D183" s="5" t="s">
        <v>64</v>
      </c>
      <c r="E183" s="5">
        <v>24</v>
      </c>
      <c r="F183" s="5">
        <v>1332673</v>
      </c>
      <c r="G183" s="5">
        <v>39950</v>
      </c>
      <c r="H183" s="5">
        <f t="shared" si="156"/>
        <v>1.800891891709369</v>
      </c>
      <c r="I183" s="6">
        <v>2.69</v>
      </c>
      <c r="J183" s="5">
        <v>6.7</v>
      </c>
      <c r="K183">
        <f t="shared" ref="K183" si="167">G183*$V$2/$R$7</f>
        <v>53794.801401116951</v>
      </c>
      <c r="L183" s="10">
        <v>125</v>
      </c>
      <c r="M183" s="8">
        <f t="shared" si="114"/>
        <v>9.3796452693196297</v>
      </c>
      <c r="N183">
        <v>0.5591836734693878</v>
      </c>
      <c r="O183">
        <v>0.45319999999999999</v>
      </c>
      <c r="P183" s="14">
        <v>148.30714017656999</v>
      </c>
    </row>
    <row r="184" spans="1:16" x14ac:dyDescent="0.35">
      <c r="A184" s="5">
        <v>2014</v>
      </c>
      <c r="B184" s="5">
        <v>23</v>
      </c>
      <c r="C184" s="5" t="s">
        <v>16</v>
      </c>
      <c r="D184" s="5" t="s">
        <v>64</v>
      </c>
      <c r="E184" s="5">
        <v>21</v>
      </c>
      <c r="F184" s="5">
        <v>1336617</v>
      </c>
      <c r="G184" s="5">
        <v>41137</v>
      </c>
      <c r="H184" s="5">
        <f t="shared" si="156"/>
        <v>1.5711306978738113</v>
      </c>
      <c r="I184" s="6">
        <v>2.71</v>
      </c>
      <c r="J184" s="5">
        <v>5.6000000000000005</v>
      </c>
      <c r="K184">
        <f t="shared" ref="K184" si="168">G184*$V$2/$R$8</f>
        <v>54508.922990166269</v>
      </c>
      <c r="L184" s="10">
        <v>171</v>
      </c>
      <c r="M184" s="8">
        <f t="shared" si="114"/>
        <v>12.793492825543892</v>
      </c>
      <c r="N184">
        <v>0.52727272727272723</v>
      </c>
      <c r="O184">
        <v>0.45929999999999999</v>
      </c>
      <c r="P184" s="14">
        <v>152.595323216439</v>
      </c>
    </row>
    <row r="185" spans="1:16" x14ac:dyDescent="0.35">
      <c r="A185" s="5">
        <v>2015</v>
      </c>
      <c r="B185" s="5">
        <v>23</v>
      </c>
      <c r="C185" s="5" t="s">
        <v>16</v>
      </c>
      <c r="D185" s="5" t="s">
        <v>64</v>
      </c>
      <c r="E185" s="5">
        <v>23</v>
      </c>
      <c r="F185" s="5">
        <v>1335768</v>
      </c>
      <c r="G185" s="5">
        <v>42939</v>
      </c>
      <c r="H185" s="5">
        <f t="shared" si="156"/>
        <v>1.7218558911427733</v>
      </c>
      <c r="I185" s="6">
        <v>2.78</v>
      </c>
      <c r="J185" s="5">
        <v>4.4000000000000004</v>
      </c>
      <c r="K185">
        <f t="shared" ref="K185" si="169">G185*$V$2/$R$9</f>
        <v>56829.223097921247</v>
      </c>
      <c r="L185" s="10">
        <v>238</v>
      </c>
      <c r="M185" s="8">
        <f t="shared" si="114"/>
        <v>17.817465308346961</v>
      </c>
      <c r="N185">
        <v>0.5446808510638298</v>
      </c>
      <c r="O185">
        <v>0.45229999999999998</v>
      </c>
      <c r="P185" s="14">
        <v>131.81290083070701</v>
      </c>
    </row>
    <row r="186" spans="1:16" x14ac:dyDescent="0.35">
      <c r="A186" s="5">
        <v>2016</v>
      </c>
      <c r="B186" s="5">
        <v>23</v>
      </c>
      <c r="C186" s="5" t="s">
        <v>16</v>
      </c>
      <c r="D186" s="5" t="s">
        <v>64</v>
      </c>
      <c r="E186" s="5">
        <v>20</v>
      </c>
      <c r="F186" s="5">
        <v>1340292</v>
      </c>
      <c r="G186" s="5">
        <v>44234</v>
      </c>
      <c r="H186" s="5">
        <f t="shared" si="156"/>
        <v>1.4922121448162042</v>
      </c>
      <c r="I186" s="6">
        <v>2.8099999999999898</v>
      </c>
      <c r="J186" s="5">
        <v>3.8000000000000003</v>
      </c>
      <c r="K186">
        <f t="shared" ref="K186" si="170">G186*$V$2/$R$10</f>
        <v>57813.810538859288</v>
      </c>
      <c r="L186" s="10">
        <v>301</v>
      </c>
      <c r="M186" s="8">
        <f t="shared" si="114"/>
        <v>22.457792779483874</v>
      </c>
      <c r="N186">
        <v>0.49557522123893805</v>
      </c>
      <c r="O186">
        <v>0.45190000000000002</v>
      </c>
      <c r="P186" s="14">
        <v>137.08420104582899</v>
      </c>
    </row>
    <row r="187" spans="1:16" x14ac:dyDescent="0.35">
      <c r="A187" s="5">
        <v>2017</v>
      </c>
      <c r="B187" s="5">
        <v>23</v>
      </c>
      <c r="C187" s="5" t="s">
        <v>16</v>
      </c>
      <c r="D187" s="5" t="s">
        <v>64</v>
      </c>
      <c r="E187" s="5">
        <v>23</v>
      </c>
      <c r="F187" s="5">
        <v>1344956</v>
      </c>
      <c r="G187" s="5">
        <v>45905</v>
      </c>
      <c r="H187" s="5">
        <f t="shared" si="156"/>
        <v>1.7100931182878845</v>
      </c>
      <c r="I187" s="6">
        <v>2.8499999999999899</v>
      </c>
      <c r="J187" s="5">
        <v>3.4000000000000004</v>
      </c>
      <c r="K187">
        <f t="shared" ref="K187" si="171">G187*$V$2/$R$11</f>
        <v>58746.301994941263</v>
      </c>
      <c r="L187" s="10">
        <v>360</v>
      </c>
      <c r="M187" s="8">
        <f t="shared" si="114"/>
        <v>26.766674894940802</v>
      </c>
      <c r="N187">
        <v>0.55109489051094895</v>
      </c>
      <c r="O187">
        <v>0.4526</v>
      </c>
      <c r="P187" s="14">
        <v>134.25790532237201</v>
      </c>
    </row>
    <row r="188" spans="1:16" x14ac:dyDescent="0.35">
      <c r="A188" s="5">
        <v>2018</v>
      </c>
      <c r="B188" s="5">
        <v>23</v>
      </c>
      <c r="C188" s="5" t="s">
        <v>16</v>
      </c>
      <c r="D188" s="5" t="s">
        <v>64</v>
      </c>
      <c r="E188" s="5">
        <v>23</v>
      </c>
      <c r="F188" s="5">
        <v>1350606</v>
      </c>
      <c r="G188" s="5">
        <v>47729</v>
      </c>
      <c r="H188" s="5">
        <f t="shared" si="156"/>
        <v>1.702939273185518</v>
      </c>
      <c r="I188" s="6">
        <v>2.8499999999999899</v>
      </c>
      <c r="J188" s="5">
        <v>3.2</v>
      </c>
      <c r="K188">
        <f t="shared" ref="K188" si="172">G188*$V$2/$R$12</f>
        <v>59624.233020186621</v>
      </c>
      <c r="L188" s="10">
        <v>282</v>
      </c>
      <c r="M188" s="8">
        <f t="shared" si="114"/>
        <v>20.879516306013745</v>
      </c>
      <c r="N188">
        <v>0.5444444444444444</v>
      </c>
      <c r="O188">
        <v>0.4516</v>
      </c>
      <c r="P188" s="14">
        <v>135.02346144416899</v>
      </c>
    </row>
    <row r="189" spans="1:16" x14ac:dyDescent="0.35">
      <c r="A189" s="5">
        <v>2008</v>
      </c>
      <c r="B189" s="5">
        <v>24</v>
      </c>
      <c r="C189" s="5" t="s">
        <v>17</v>
      </c>
      <c r="D189" s="5" t="s">
        <v>65</v>
      </c>
      <c r="E189" s="5">
        <v>493</v>
      </c>
      <c r="F189" s="5">
        <v>5684965</v>
      </c>
      <c r="G189" s="5">
        <v>49026</v>
      </c>
      <c r="H189" s="5">
        <f t="shared" si="156"/>
        <v>8.6719971011255126</v>
      </c>
      <c r="I189" s="6">
        <v>2.19</v>
      </c>
      <c r="J189" s="5">
        <v>4.5</v>
      </c>
      <c r="K189">
        <f t="shared" ref="K189" si="173">G189*$V$2/$R$2</f>
        <v>71429.180801010676</v>
      </c>
      <c r="L189" s="10">
        <v>513</v>
      </c>
      <c r="M189" s="8">
        <f t="shared" si="114"/>
        <v>9.0238022573577847</v>
      </c>
      <c r="N189">
        <v>0.51873767258382641</v>
      </c>
      <c r="O189">
        <v>0.438</v>
      </c>
      <c r="P189" s="14">
        <v>402.02</v>
      </c>
    </row>
    <row r="190" spans="1:16" x14ac:dyDescent="0.35">
      <c r="A190" s="5">
        <v>2009</v>
      </c>
      <c r="B190" s="5">
        <v>24</v>
      </c>
      <c r="C190" s="5" t="s">
        <v>17</v>
      </c>
      <c r="D190" s="5" t="s">
        <v>65</v>
      </c>
      <c r="E190" s="5">
        <v>440</v>
      </c>
      <c r="F190" s="5">
        <v>5730388</v>
      </c>
      <c r="G190" s="5">
        <v>48448</v>
      </c>
      <c r="H190" s="5">
        <f t="shared" si="156"/>
        <v>7.6783631405063675</v>
      </c>
      <c r="I190" s="6">
        <v>2.19</v>
      </c>
      <c r="J190" s="5">
        <v>7.6000000000000005</v>
      </c>
      <c r="K190">
        <f t="shared" ref="K190" si="174">G190*$V$2/$R$3</f>
        <v>70839.084502906262</v>
      </c>
      <c r="L190" s="10">
        <v>586</v>
      </c>
      <c r="M190" s="8">
        <f t="shared" si="114"/>
        <v>10.226183637128933</v>
      </c>
      <c r="N190">
        <v>0.4573502722323049</v>
      </c>
      <c r="O190">
        <v>0.44800000000000001</v>
      </c>
      <c r="P190" s="14">
        <v>383.68</v>
      </c>
    </row>
    <row r="191" spans="1:16" x14ac:dyDescent="0.35">
      <c r="A191" s="5">
        <v>2010</v>
      </c>
      <c r="B191" s="5">
        <v>24</v>
      </c>
      <c r="C191" s="5" t="s">
        <v>17</v>
      </c>
      <c r="D191" s="5" t="s">
        <v>65</v>
      </c>
      <c r="E191" s="5">
        <v>426</v>
      </c>
      <c r="F191" s="5">
        <v>5791715</v>
      </c>
      <c r="G191" s="5">
        <v>49616</v>
      </c>
      <c r="H191" s="5">
        <f t="shared" si="156"/>
        <v>7.3553343008072742</v>
      </c>
      <c r="I191" s="6">
        <v>2.21</v>
      </c>
      <c r="J191" s="5">
        <v>7.8000000000000007</v>
      </c>
      <c r="K191">
        <f t="shared" ref="K191" si="175">G191*$V$2/$R$4</f>
        <v>71376.130095021465</v>
      </c>
      <c r="L191" s="10">
        <v>509</v>
      </c>
      <c r="M191" s="8">
        <f t="shared" si="114"/>
        <v>8.7884158664575178</v>
      </c>
      <c r="N191">
        <v>0.44223107569721115</v>
      </c>
      <c r="O191">
        <v>0.443</v>
      </c>
      <c r="P191" s="14">
        <v>385</v>
      </c>
    </row>
    <row r="192" spans="1:16" x14ac:dyDescent="0.35">
      <c r="A192" s="5">
        <v>2011</v>
      </c>
      <c r="B192" s="5">
        <v>24</v>
      </c>
      <c r="C192" s="5" t="s">
        <v>17</v>
      </c>
      <c r="D192" s="5" t="s">
        <v>65</v>
      </c>
      <c r="E192" s="5">
        <v>399</v>
      </c>
      <c r="F192" s="5">
        <v>5854930</v>
      </c>
      <c r="G192" s="5">
        <v>51797</v>
      </c>
      <c r="H192" s="5">
        <f t="shared" si="156"/>
        <v>6.8147697752150744</v>
      </c>
      <c r="I192" s="6">
        <v>2.19</v>
      </c>
      <c r="J192" s="5">
        <v>7.3000000000000007</v>
      </c>
      <c r="K192">
        <f t="shared" ref="K192" si="176">G192*$V$2/$R$5</f>
        <v>72233.579472657046</v>
      </c>
      <c r="L192" s="10">
        <v>546</v>
      </c>
      <c r="M192" s="8">
        <f t="shared" si="114"/>
        <v>9.325474429241682</v>
      </c>
      <c r="N192">
        <v>0.43369175627240142</v>
      </c>
      <c r="O192">
        <v>0.4466</v>
      </c>
      <c r="P192" s="14">
        <v>379.50903619337998</v>
      </c>
    </row>
    <row r="193" spans="1:16" x14ac:dyDescent="0.35">
      <c r="A193" s="5">
        <v>2012</v>
      </c>
      <c r="B193" s="5">
        <v>24</v>
      </c>
      <c r="C193" s="5" t="s">
        <v>17</v>
      </c>
      <c r="D193" s="5" t="s">
        <v>65</v>
      </c>
      <c r="E193" s="5">
        <v>373</v>
      </c>
      <c r="F193" s="5">
        <v>5914854</v>
      </c>
      <c r="G193" s="5">
        <v>52481</v>
      </c>
      <c r="H193" s="5">
        <f t="shared" si="156"/>
        <v>6.3061573455574731</v>
      </c>
      <c r="I193" s="6">
        <v>2.21</v>
      </c>
      <c r="J193" s="5">
        <v>6.9</v>
      </c>
      <c r="K193">
        <f t="shared" ref="K193" si="177">G193*$V$2/$R$6</f>
        <v>71703.582885441268</v>
      </c>
      <c r="L193" s="10">
        <v>657</v>
      </c>
      <c r="M193" s="8">
        <f t="shared" si="114"/>
        <v>11.107628353971206</v>
      </c>
      <c r="N193">
        <v>0.46655231560891941</v>
      </c>
      <c r="O193">
        <v>0.44729999999999998</v>
      </c>
      <c r="P193" s="14">
        <v>360.29608580738801</v>
      </c>
    </row>
    <row r="194" spans="1:16" x14ac:dyDescent="0.35">
      <c r="A194" s="5">
        <v>2013</v>
      </c>
      <c r="B194" s="5">
        <v>24</v>
      </c>
      <c r="C194" s="5" t="s">
        <v>17</v>
      </c>
      <c r="D194" s="5" t="s">
        <v>65</v>
      </c>
      <c r="E194" s="5">
        <v>384</v>
      </c>
      <c r="F194" s="5">
        <v>5963434</v>
      </c>
      <c r="G194" s="5">
        <v>51871</v>
      </c>
      <c r="H194" s="5">
        <f t="shared" si="156"/>
        <v>6.439242892601813</v>
      </c>
      <c r="I194" s="6">
        <v>2.1800000000000002</v>
      </c>
      <c r="J194" s="5">
        <v>6.5</v>
      </c>
      <c r="K194">
        <f t="shared" ref="K194" si="178">G194*$V$2/$R$7</f>
        <v>69847.062414952117</v>
      </c>
      <c r="L194" s="10">
        <v>749</v>
      </c>
      <c r="M194" s="8">
        <f t="shared" si="114"/>
        <v>12.559877412913432</v>
      </c>
      <c r="N194">
        <v>0.45166959578207383</v>
      </c>
      <c r="O194">
        <v>0.45550000000000002</v>
      </c>
      <c r="P194" s="14">
        <v>352.19994915352402</v>
      </c>
    </row>
    <row r="195" spans="1:16" x14ac:dyDescent="0.35">
      <c r="A195" s="5">
        <v>2014</v>
      </c>
      <c r="B195" s="5">
        <v>24</v>
      </c>
      <c r="C195" s="5" t="s">
        <v>17</v>
      </c>
      <c r="D195" s="5" t="s">
        <v>65</v>
      </c>
      <c r="E195" s="5">
        <v>362</v>
      </c>
      <c r="F195" s="5">
        <v>6010059</v>
      </c>
      <c r="G195" s="5">
        <v>53075</v>
      </c>
      <c r="H195" s="5">
        <f t="shared" si="156"/>
        <v>6.023235379220071</v>
      </c>
      <c r="I195" s="6">
        <v>2.15</v>
      </c>
      <c r="J195" s="5">
        <v>5.7</v>
      </c>
      <c r="K195">
        <f t="shared" ref="K195" si="179">G195*$V$2/$R$8</f>
        <v>70327.468889395794</v>
      </c>
      <c r="L195" s="10">
        <v>921</v>
      </c>
      <c r="M195" s="8">
        <f t="shared" ref="M195:M258" si="180">L195/F195*100000</f>
        <v>15.324308796302999</v>
      </c>
      <c r="N195">
        <v>0.45709570957095708</v>
      </c>
      <c r="O195">
        <v>0.4491</v>
      </c>
      <c r="P195" s="14">
        <v>345.934044445008</v>
      </c>
    </row>
    <row r="196" spans="1:16" x14ac:dyDescent="0.35">
      <c r="A196" s="5">
        <v>2015</v>
      </c>
      <c r="B196" s="5">
        <v>24</v>
      </c>
      <c r="C196" s="5" t="s">
        <v>17</v>
      </c>
      <c r="D196" s="5" t="s">
        <v>65</v>
      </c>
      <c r="E196" s="5">
        <v>538</v>
      </c>
      <c r="F196" s="5">
        <v>6050280</v>
      </c>
      <c r="G196" s="5">
        <v>55032</v>
      </c>
      <c r="H196" s="5">
        <f t="shared" si="156"/>
        <v>8.8921504459297758</v>
      </c>
      <c r="I196" s="6">
        <v>2.14</v>
      </c>
      <c r="J196" s="5">
        <v>5</v>
      </c>
      <c r="K196">
        <f t="shared" ref="K196" si="181">G196*$V$2/$R$9</f>
        <v>72834.155558462051</v>
      </c>
      <c r="L196" s="10">
        <v>1087</v>
      </c>
      <c r="M196" s="8">
        <f t="shared" si="180"/>
        <v>17.966110659341386</v>
      </c>
      <c r="N196">
        <v>0.44122965641952983</v>
      </c>
      <c r="O196">
        <v>0.45240000000000002</v>
      </c>
      <c r="P196" s="14">
        <v>339.75252737556701</v>
      </c>
    </row>
    <row r="197" spans="1:16" x14ac:dyDescent="0.35">
      <c r="A197" s="5">
        <v>2016</v>
      </c>
      <c r="B197" s="5">
        <v>24</v>
      </c>
      <c r="C197" s="5" t="s">
        <v>17</v>
      </c>
      <c r="D197" s="5" t="s">
        <v>65</v>
      </c>
      <c r="E197" s="5">
        <v>536</v>
      </c>
      <c r="F197" s="5">
        <v>6080556</v>
      </c>
      <c r="G197" s="5">
        <v>56606</v>
      </c>
      <c r="H197" s="5">
        <f t="shared" si="156"/>
        <v>8.8149833666526547</v>
      </c>
      <c r="I197" s="6">
        <v>2.16</v>
      </c>
      <c r="J197" s="5">
        <v>4.3</v>
      </c>
      <c r="K197">
        <f t="shared" ref="K197" si="182">G197*$V$2/$R$10</f>
        <v>73984.006858133303</v>
      </c>
      <c r="L197" s="10">
        <v>1821</v>
      </c>
      <c r="M197" s="8">
        <f t="shared" si="180"/>
        <v>29.947919236332993</v>
      </c>
      <c r="N197">
        <v>0.42832764505119453</v>
      </c>
      <c r="O197">
        <v>0.44990000000000002</v>
      </c>
      <c r="P197" s="14">
        <v>328.14225888224001</v>
      </c>
    </row>
    <row r="198" spans="1:16" x14ac:dyDescent="0.35">
      <c r="A198" s="5">
        <v>2017</v>
      </c>
      <c r="B198" s="5">
        <v>24</v>
      </c>
      <c r="C198" s="5" t="s">
        <v>17</v>
      </c>
      <c r="D198" s="5" t="s">
        <v>65</v>
      </c>
      <c r="E198" s="5">
        <v>558</v>
      </c>
      <c r="F198" s="5">
        <v>6113486</v>
      </c>
      <c r="G198" s="5">
        <v>58245</v>
      </c>
      <c r="H198" s="5">
        <f t="shared" si="156"/>
        <v>9.1273620320713906</v>
      </c>
      <c r="I198" s="6">
        <v>2.14</v>
      </c>
      <c r="J198" s="5">
        <v>4</v>
      </c>
      <c r="K198">
        <f t="shared" ref="K198" si="183">G198*$V$2/$R$11</f>
        <v>74538.249857212795</v>
      </c>
      <c r="L198" s="10">
        <v>1985</v>
      </c>
      <c r="M198" s="8">
        <f t="shared" si="180"/>
        <v>32.469200060325647</v>
      </c>
      <c r="N198">
        <v>0.43015873015873018</v>
      </c>
      <c r="O198">
        <v>0.45300000000000001</v>
      </c>
      <c r="P198" s="14">
        <v>318.67366007767299</v>
      </c>
    </row>
    <row r="199" spans="1:16" x14ac:dyDescent="0.35">
      <c r="A199" s="5">
        <v>2018</v>
      </c>
      <c r="B199" s="5">
        <v>24</v>
      </c>
      <c r="C199" s="5" t="s">
        <v>17</v>
      </c>
      <c r="D199" s="5" t="s">
        <v>65</v>
      </c>
      <c r="E199" s="5">
        <v>491</v>
      </c>
      <c r="F199" s="5">
        <v>6139211</v>
      </c>
      <c r="G199" s="5">
        <v>59915</v>
      </c>
      <c r="H199" s="5">
        <f t="shared" si="156"/>
        <v>7.9977703975315393</v>
      </c>
      <c r="I199" s="6">
        <v>2.08</v>
      </c>
      <c r="J199" s="5">
        <v>3.8000000000000003</v>
      </c>
      <c r="K199">
        <f t="shared" ref="K199" si="184">G199*$V$2/$R$12</f>
        <v>74847.281975412887</v>
      </c>
      <c r="L199" s="10">
        <v>2087</v>
      </c>
      <c r="M199" s="8">
        <f t="shared" si="180"/>
        <v>33.994596374029172</v>
      </c>
      <c r="N199">
        <v>0.40923076923076923</v>
      </c>
      <c r="O199">
        <v>0.45429999999999998</v>
      </c>
      <c r="P199" s="14">
        <v>310.16483702899097</v>
      </c>
    </row>
    <row r="200" spans="1:16" x14ac:dyDescent="0.35">
      <c r="A200" s="5">
        <v>2008</v>
      </c>
      <c r="B200" s="5">
        <v>25</v>
      </c>
      <c r="C200" s="5" t="s">
        <v>18</v>
      </c>
      <c r="D200" s="5" t="s">
        <v>66</v>
      </c>
      <c r="E200" s="5">
        <v>166</v>
      </c>
      <c r="F200" s="5">
        <v>6468967</v>
      </c>
      <c r="G200" s="5">
        <v>51546</v>
      </c>
      <c r="H200" s="5">
        <f t="shared" si="156"/>
        <v>2.5660974928454574</v>
      </c>
      <c r="I200" s="6">
        <v>2.54</v>
      </c>
      <c r="J200" s="5">
        <v>5.3000000000000007</v>
      </c>
      <c r="K200">
        <f t="shared" ref="K200" si="185">G200*$V$2/$R$2</f>
        <v>75100.733357175704</v>
      </c>
      <c r="L200" s="10">
        <v>596</v>
      </c>
      <c r="M200" s="8">
        <f t="shared" si="180"/>
        <v>9.2132175044330875</v>
      </c>
      <c r="N200">
        <v>0.23182711198428291</v>
      </c>
      <c r="O200">
        <v>0.47099999999999997</v>
      </c>
      <c r="P200" s="14">
        <v>155.36000000000001</v>
      </c>
    </row>
    <row r="201" spans="1:16" x14ac:dyDescent="0.35">
      <c r="A201" s="5">
        <v>2009</v>
      </c>
      <c r="B201" s="5">
        <v>25</v>
      </c>
      <c r="C201" s="5" t="s">
        <v>18</v>
      </c>
      <c r="D201" s="5" t="s">
        <v>66</v>
      </c>
      <c r="E201" s="5">
        <v>173</v>
      </c>
      <c r="F201" s="5">
        <v>6517613</v>
      </c>
      <c r="G201" s="5">
        <v>50751</v>
      </c>
      <c r="H201" s="5">
        <f t="shared" si="156"/>
        <v>2.6543460005986854</v>
      </c>
      <c r="I201" s="6">
        <v>2.48999999999999</v>
      </c>
      <c r="J201" s="5">
        <v>8.1</v>
      </c>
      <c r="K201">
        <f t="shared" ref="K201" si="186">G201*$V$2/$R$3</f>
        <v>74206.45594466223</v>
      </c>
      <c r="L201" s="10">
        <v>622</v>
      </c>
      <c r="M201" s="8">
        <f t="shared" si="180"/>
        <v>9.5433711697825565</v>
      </c>
      <c r="N201">
        <v>0.16792452830188678</v>
      </c>
      <c r="O201">
        <v>0.46800000000000003</v>
      </c>
      <c r="P201" s="14">
        <v>152.72</v>
      </c>
    </row>
    <row r="202" spans="1:16" x14ac:dyDescent="0.35">
      <c r="A202" s="5">
        <v>2010</v>
      </c>
      <c r="B202" s="5">
        <v>25</v>
      </c>
      <c r="C202" s="5" t="s">
        <v>18</v>
      </c>
      <c r="D202" s="5" t="s">
        <v>66</v>
      </c>
      <c r="E202" s="5">
        <v>214</v>
      </c>
      <c r="F202" s="5">
        <v>6569724</v>
      </c>
      <c r="G202" s="5">
        <v>52707</v>
      </c>
      <c r="H202" s="5">
        <f t="shared" si="156"/>
        <v>3.2573666717201517</v>
      </c>
      <c r="I202" s="6">
        <v>2.5</v>
      </c>
      <c r="J202" s="5">
        <v>8.1</v>
      </c>
      <c r="K202">
        <f t="shared" ref="K202" si="187">G202*$V$2/$R$4</f>
        <v>75822.752517701883</v>
      </c>
      <c r="L202" s="10">
        <v>549</v>
      </c>
      <c r="M202" s="8">
        <f t="shared" si="180"/>
        <v>8.3565154335250611</v>
      </c>
      <c r="N202">
        <v>0.23076923076923078</v>
      </c>
      <c r="O202">
        <v>0.47499999999999998</v>
      </c>
      <c r="P202" s="14">
        <v>152.96</v>
      </c>
    </row>
    <row r="203" spans="1:16" x14ac:dyDescent="0.35">
      <c r="A203" s="5">
        <v>2011</v>
      </c>
      <c r="B203" s="5">
        <v>25</v>
      </c>
      <c r="C203" s="5" t="s">
        <v>18</v>
      </c>
      <c r="D203" s="5" t="s">
        <v>66</v>
      </c>
      <c r="E203" s="5">
        <v>184</v>
      </c>
      <c r="F203" s="5">
        <v>6630673</v>
      </c>
      <c r="G203" s="5">
        <v>54757</v>
      </c>
      <c r="H203" s="5">
        <f t="shared" si="156"/>
        <v>2.7749822680141216</v>
      </c>
      <c r="I203" s="6">
        <v>2.54</v>
      </c>
      <c r="J203" s="5">
        <v>7.2</v>
      </c>
      <c r="K203">
        <f t="shared" ref="K203" si="188">G203*$V$2/$R$5</f>
        <v>76361.451651336596</v>
      </c>
      <c r="L203" s="10">
        <v>655</v>
      </c>
      <c r="M203" s="8">
        <f t="shared" si="180"/>
        <v>9.8783336171154872</v>
      </c>
      <c r="N203">
        <v>0.19829059829059828</v>
      </c>
      <c r="O203">
        <v>0.47710000000000002</v>
      </c>
      <c r="P203" s="14">
        <v>205.00352234284901</v>
      </c>
    </row>
    <row r="204" spans="1:16" x14ac:dyDescent="0.35">
      <c r="A204" s="5">
        <v>2012</v>
      </c>
      <c r="B204" s="5">
        <v>25</v>
      </c>
      <c r="C204" s="5" t="s">
        <v>18</v>
      </c>
      <c r="D204" s="5" t="s">
        <v>66</v>
      </c>
      <c r="E204" s="5">
        <v>121</v>
      </c>
      <c r="F204" s="5">
        <v>6693932</v>
      </c>
      <c r="G204" s="5">
        <v>56259</v>
      </c>
      <c r="H204" s="5">
        <f t="shared" si="156"/>
        <v>1.8076072478776302</v>
      </c>
      <c r="I204" s="6">
        <v>2.56</v>
      </c>
      <c r="J204" s="5">
        <v>6.7</v>
      </c>
      <c r="K204">
        <f t="shared" ref="K204" si="189">G204*$V$2/$R$6</f>
        <v>76865.377366133267</v>
      </c>
      <c r="L204" s="10">
        <v>691</v>
      </c>
      <c r="M204" s="8">
        <f t="shared" si="180"/>
        <v>10.322781886640019</v>
      </c>
      <c r="N204">
        <v>0.25</v>
      </c>
      <c r="O204">
        <v>0.48130000000000001</v>
      </c>
      <c r="P204" s="14">
        <v>198.99059135895001</v>
      </c>
    </row>
    <row r="205" spans="1:16" x14ac:dyDescent="0.35">
      <c r="A205" s="5">
        <v>2013</v>
      </c>
      <c r="B205" s="5">
        <v>25</v>
      </c>
      <c r="C205" s="5" t="s">
        <v>18</v>
      </c>
      <c r="D205" s="5" t="s">
        <v>66</v>
      </c>
      <c r="E205" s="5">
        <v>138</v>
      </c>
      <c r="F205" s="5">
        <v>6757991</v>
      </c>
      <c r="G205" s="5">
        <v>56119</v>
      </c>
      <c r="H205" s="5">
        <f t="shared" si="156"/>
        <v>2.0420269870143359</v>
      </c>
      <c r="I205" s="6">
        <v>2.5499999999999998</v>
      </c>
      <c r="J205" s="5">
        <v>6.6000000000000005</v>
      </c>
      <c r="K205">
        <f t="shared" ref="K205" si="190">G205*$V$2/$R$7</f>
        <v>75567.220521383773</v>
      </c>
      <c r="L205" s="10">
        <v>888</v>
      </c>
      <c r="M205" s="8">
        <f t="shared" si="180"/>
        <v>13.139999742527031</v>
      </c>
      <c r="N205">
        <v>0.19580419580419581</v>
      </c>
      <c r="O205">
        <v>0.48370000000000002</v>
      </c>
      <c r="P205" s="14">
        <v>191.93324515957099</v>
      </c>
    </row>
    <row r="206" spans="1:16" x14ac:dyDescent="0.35">
      <c r="A206" s="5">
        <v>2014</v>
      </c>
      <c r="B206" s="5">
        <v>25</v>
      </c>
      <c r="C206" s="5" t="s">
        <v>18</v>
      </c>
      <c r="D206" s="5" t="s">
        <v>66</v>
      </c>
      <c r="E206" s="5">
        <v>133</v>
      </c>
      <c r="F206" s="5">
        <v>6820869</v>
      </c>
      <c r="G206" s="5">
        <v>58129</v>
      </c>
      <c r="H206" s="5">
        <f t="shared" si="156"/>
        <v>1.9498981727988032</v>
      </c>
      <c r="I206" s="6">
        <v>2.54</v>
      </c>
      <c r="J206" s="5">
        <v>5.7</v>
      </c>
      <c r="K206">
        <f t="shared" ref="K206" si="191">G206*$V$2/$R$8</f>
        <v>77024.313501115175</v>
      </c>
      <c r="L206" s="10">
        <v>1140</v>
      </c>
      <c r="M206" s="8">
        <f t="shared" si="180"/>
        <v>16.713412909704029</v>
      </c>
      <c r="N206">
        <v>0.21812080536912751</v>
      </c>
      <c r="O206">
        <v>0.48630000000000001</v>
      </c>
      <c r="P206" s="14">
        <v>188.23571768685301</v>
      </c>
    </row>
    <row r="207" spans="1:16" x14ac:dyDescent="0.35">
      <c r="A207" s="5">
        <v>2015</v>
      </c>
      <c r="B207" s="5">
        <v>25</v>
      </c>
      <c r="C207" s="5" t="s">
        <v>18</v>
      </c>
      <c r="D207" s="5" t="s">
        <v>66</v>
      </c>
      <c r="E207" s="5">
        <v>131</v>
      </c>
      <c r="F207" s="5">
        <v>6866661</v>
      </c>
      <c r="G207" s="5">
        <v>61536</v>
      </c>
      <c r="H207" s="5">
        <f t="shared" si="156"/>
        <v>1.9077685646633786</v>
      </c>
      <c r="I207" s="6">
        <v>2.52</v>
      </c>
      <c r="J207" s="5">
        <v>4.8000000000000007</v>
      </c>
      <c r="K207">
        <f t="shared" ref="K207" si="192">G207*$V$2/$R$9</f>
        <v>81442.117248973707</v>
      </c>
      <c r="L207" s="10">
        <v>1550</v>
      </c>
      <c r="M207" s="8">
        <f t="shared" si="180"/>
        <v>22.572834162047609</v>
      </c>
      <c r="N207">
        <v>0.18380062305295949</v>
      </c>
      <c r="O207">
        <v>0.48480000000000001</v>
      </c>
      <c r="P207" s="14">
        <v>170.70870440830299</v>
      </c>
    </row>
    <row r="208" spans="1:16" x14ac:dyDescent="0.35">
      <c r="A208" s="5">
        <v>2016</v>
      </c>
      <c r="B208" s="5">
        <v>25</v>
      </c>
      <c r="C208" s="5" t="s">
        <v>18</v>
      </c>
      <c r="D208" s="5" t="s">
        <v>66</v>
      </c>
      <c r="E208" s="5">
        <v>135</v>
      </c>
      <c r="F208" s="5">
        <v>6909664</v>
      </c>
      <c r="G208" s="5">
        <v>63476</v>
      </c>
      <c r="H208" s="5">
        <f t="shared" si="156"/>
        <v>1.9537853070713715</v>
      </c>
      <c r="I208" s="6">
        <v>2.56</v>
      </c>
      <c r="J208" s="5">
        <v>4</v>
      </c>
      <c r="K208">
        <f t="shared" ref="K208" si="193">G208*$V$2/$R$10</f>
        <v>82963.092593132707</v>
      </c>
      <c r="L208" s="10">
        <v>1990</v>
      </c>
      <c r="M208" s="8">
        <f t="shared" si="180"/>
        <v>28.800242674607624</v>
      </c>
      <c r="N208">
        <v>0.22187004754358161</v>
      </c>
      <c r="O208">
        <v>0.47860000000000003</v>
      </c>
      <c r="P208" s="14">
        <v>155.593716866195</v>
      </c>
    </row>
    <row r="209" spans="1:16" x14ac:dyDescent="0.35">
      <c r="A209" s="5">
        <v>2017</v>
      </c>
      <c r="B209" s="5">
        <v>25</v>
      </c>
      <c r="C209" s="5" t="s">
        <v>18</v>
      </c>
      <c r="D209" s="5" t="s">
        <v>66</v>
      </c>
      <c r="E209" s="5">
        <v>172</v>
      </c>
      <c r="F209" s="5">
        <v>6959114</v>
      </c>
      <c r="G209" s="5">
        <v>66069</v>
      </c>
      <c r="H209" s="5">
        <f t="shared" si="156"/>
        <v>2.4715789969815125</v>
      </c>
      <c r="I209" s="6">
        <v>2.58</v>
      </c>
      <c r="J209" s="5">
        <v>3.8000000000000003</v>
      </c>
      <c r="K209">
        <f t="shared" ref="K209" si="194">G209*$V$2/$R$11</f>
        <v>84550.907885933426</v>
      </c>
      <c r="L209" s="10">
        <v>1913</v>
      </c>
      <c r="M209" s="8">
        <f t="shared" si="180"/>
        <v>27.48913151875368</v>
      </c>
      <c r="N209">
        <v>0.22287390029325513</v>
      </c>
      <c r="O209">
        <v>0.48509999999999998</v>
      </c>
      <c r="P209" s="14">
        <v>151.35970964038901</v>
      </c>
    </row>
    <row r="210" spans="1:16" x14ac:dyDescent="0.35">
      <c r="A210" s="5">
        <v>2018</v>
      </c>
      <c r="B210" s="5">
        <v>25</v>
      </c>
      <c r="C210" s="5" t="s">
        <v>18</v>
      </c>
      <c r="D210" s="5" t="s">
        <v>66</v>
      </c>
      <c r="E210" s="5">
        <v>138</v>
      </c>
      <c r="F210" s="5">
        <v>6994446</v>
      </c>
      <c r="G210" s="5">
        <v>69191</v>
      </c>
      <c r="H210" s="5">
        <f t="shared" si="156"/>
        <v>1.9729940012404128</v>
      </c>
      <c r="I210" s="6">
        <v>2.5499999999999998</v>
      </c>
      <c r="J210" s="5">
        <v>3.5</v>
      </c>
      <c r="K210">
        <f t="shared" ref="K210" si="195">G210*$V$2/$R$12</f>
        <v>86435.087827101612</v>
      </c>
      <c r="L210" s="10">
        <v>1991</v>
      </c>
      <c r="M210" s="8">
        <f t="shared" si="180"/>
        <v>28.465442438185953</v>
      </c>
      <c r="N210">
        <v>0.2</v>
      </c>
      <c r="O210">
        <v>0.48749999999999999</v>
      </c>
      <c r="P210" s="14">
        <v>145.74258897483401</v>
      </c>
    </row>
    <row r="211" spans="1:16" x14ac:dyDescent="0.35">
      <c r="A211" s="5">
        <v>2008</v>
      </c>
      <c r="B211" s="5">
        <v>26</v>
      </c>
      <c r="C211" s="5" t="s">
        <v>19</v>
      </c>
      <c r="D211" s="5" t="s">
        <v>67</v>
      </c>
      <c r="E211" s="5">
        <v>554</v>
      </c>
      <c r="F211" s="5">
        <v>9946889</v>
      </c>
      <c r="G211" s="5">
        <v>35826</v>
      </c>
      <c r="H211" s="5">
        <f t="shared" si="156"/>
        <v>5.5695805995221219</v>
      </c>
      <c r="I211" s="6">
        <v>2.2200000000000002</v>
      </c>
      <c r="J211" s="5">
        <v>8.2000000000000011</v>
      </c>
      <c r="K211">
        <f t="shared" ref="K211" si="196">G211*$V$2/$R$2</f>
        <v>52197.238840146216</v>
      </c>
      <c r="L211" s="10">
        <v>643</v>
      </c>
      <c r="M211" s="8">
        <f t="shared" si="180"/>
        <v>6.4643327174958927</v>
      </c>
      <c r="N211">
        <v>0.48305084745762711</v>
      </c>
      <c r="O211">
        <v>0.45100000000000001</v>
      </c>
      <c r="P211" s="14">
        <v>487.26</v>
      </c>
    </row>
    <row r="212" spans="1:16" x14ac:dyDescent="0.35">
      <c r="A212" s="5">
        <v>2009</v>
      </c>
      <c r="B212" s="5">
        <v>26</v>
      </c>
      <c r="C212" s="5" t="s">
        <v>19</v>
      </c>
      <c r="D212" s="5" t="s">
        <v>67</v>
      </c>
      <c r="E212" s="5">
        <v>623</v>
      </c>
      <c r="F212" s="5">
        <v>9901591</v>
      </c>
      <c r="G212" s="5">
        <v>34247</v>
      </c>
      <c r="H212" s="5">
        <f t="shared" si="156"/>
        <v>6.291918137196336</v>
      </c>
      <c r="I212" s="6">
        <v>2.23</v>
      </c>
      <c r="J212" s="5">
        <v>13.100000000000001</v>
      </c>
      <c r="K212">
        <f t="shared" ref="K212" si="197">G212*$V$2/$R$3</f>
        <v>50074.845751548681</v>
      </c>
      <c r="L212" s="10">
        <v>736</v>
      </c>
      <c r="M212" s="8">
        <f t="shared" si="180"/>
        <v>7.4331488747616428</v>
      </c>
      <c r="N212">
        <v>0.49187339606501285</v>
      </c>
      <c r="O212">
        <v>0.45300000000000001</v>
      </c>
      <c r="P212" s="14">
        <v>456.16</v>
      </c>
    </row>
    <row r="213" spans="1:16" x14ac:dyDescent="0.35">
      <c r="A213" s="5">
        <v>2010</v>
      </c>
      <c r="B213" s="5">
        <v>26</v>
      </c>
      <c r="C213" s="5" t="s">
        <v>19</v>
      </c>
      <c r="D213" s="5" t="s">
        <v>67</v>
      </c>
      <c r="E213" s="5">
        <v>580</v>
      </c>
      <c r="F213" s="5">
        <v>9880111</v>
      </c>
      <c r="G213" s="5">
        <v>35635</v>
      </c>
      <c r="H213" s="5">
        <f t="shared" si="156"/>
        <v>5.8703793914865932</v>
      </c>
      <c r="I213" s="6">
        <v>2.23</v>
      </c>
      <c r="J213" s="5">
        <v>12.200000000000001</v>
      </c>
      <c r="K213">
        <f t="shared" ref="K213" si="198">G213*$V$2/$R$4</f>
        <v>51263.47137891184</v>
      </c>
      <c r="L213" s="10">
        <v>695</v>
      </c>
      <c r="M213" s="8">
        <f t="shared" si="180"/>
        <v>7.0343339260054876</v>
      </c>
      <c r="N213">
        <v>0.4758511480601742</v>
      </c>
      <c r="O213">
        <v>0.45100000000000001</v>
      </c>
      <c r="P213" s="14">
        <v>446.62</v>
      </c>
    </row>
    <row r="214" spans="1:16" x14ac:dyDescent="0.35">
      <c r="A214" s="5">
        <v>2011</v>
      </c>
      <c r="B214" s="5">
        <v>26</v>
      </c>
      <c r="C214" s="5" t="s">
        <v>19</v>
      </c>
      <c r="D214" s="5" t="s">
        <v>67</v>
      </c>
      <c r="E214" s="5">
        <v>617</v>
      </c>
      <c r="F214" s="5">
        <v>9895652</v>
      </c>
      <c r="G214" s="5">
        <v>37689</v>
      </c>
      <c r="H214" s="5">
        <f t="shared" si="156"/>
        <v>6.2350616210028411</v>
      </c>
      <c r="I214" s="6">
        <v>2.25</v>
      </c>
      <c r="J214" s="5">
        <v>10</v>
      </c>
      <c r="K214">
        <f t="shared" ref="K214" si="199">G214*$V$2/$R$5</f>
        <v>52559.248156166788</v>
      </c>
      <c r="L214" s="10">
        <v>714</v>
      </c>
      <c r="M214" s="8">
        <f t="shared" si="180"/>
        <v>7.2152901092318125</v>
      </c>
      <c r="N214">
        <v>0.50696150696150699</v>
      </c>
      <c r="O214">
        <v>0.4612</v>
      </c>
      <c r="P214" s="14">
        <v>434.15903898091199</v>
      </c>
    </row>
    <row r="215" spans="1:16" x14ac:dyDescent="0.35">
      <c r="A215" s="5">
        <v>2012</v>
      </c>
      <c r="B215" s="5">
        <v>26</v>
      </c>
      <c r="C215" s="5" t="s">
        <v>19</v>
      </c>
      <c r="D215" s="5" t="s">
        <v>67</v>
      </c>
      <c r="E215" s="5">
        <v>701</v>
      </c>
      <c r="F215" s="5">
        <v>9921001</v>
      </c>
      <c r="G215" s="5">
        <v>39042</v>
      </c>
      <c r="H215" s="5">
        <f t="shared" si="156"/>
        <v>7.0658192656164429</v>
      </c>
      <c r="I215" s="6">
        <v>2.27</v>
      </c>
      <c r="J215" s="5">
        <v>9</v>
      </c>
      <c r="K215">
        <f t="shared" ref="K215" si="200">G215*$V$2/$R$6</f>
        <v>53342.186372466182</v>
      </c>
      <c r="L215" s="10">
        <v>685</v>
      </c>
      <c r="M215" s="8">
        <f t="shared" si="180"/>
        <v>6.9045452167578647</v>
      </c>
      <c r="N215">
        <v>0.49405233941316418</v>
      </c>
      <c r="O215">
        <v>0.46239999999999998</v>
      </c>
      <c r="P215" s="14">
        <v>440.754582683948</v>
      </c>
    </row>
    <row r="216" spans="1:16" x14ac:dyDescent="0.35">
      <c r="A216" s="5">
        <v>2013</v>
      </c>
      <c r="B216" s="5">
        <v>26</v>
      </c>
      <c r="C216" s="5" t="s">
        <v>19</v>
      </c>
      <c r="D216" s="5" t="s">
        <v>67</v>
      </c>
      <c r="E216" s="5">
        <v>625</v>
      </c>
      <c r="F216" s="5">
        <v>9947598</v>
      </c>
      <c r="G216" s="5">
        <v>39292</v>
      </c>
      <c r="H216" s="5">
        <f t="shared" si="156"/>
        <v>6.2829237771771638</v>
      </c>
      <c r="I216" s="6">
        <v>2.23</v>
      </c>
      <c r="J216" s="5">
        <v>8.7000000000000011</v>
      </c>
      <c r="K216">
        <f t="shared" ref="K216" si="201">G216*$V$2/$R$7</f>
        <v>52908.769378039731</v>
      </c>
      <c r="L216" s="10">
        <v>909</v>
      </c>
      <c r="M216" s="8">
        <f t="shared" si="180"/>
        <v>9.1378843415264672</v>
      </c>
      <c r="N216">
        <v>0.52046332046332044</v>
      </c>
      <c r="O216">
        <v>0.46410000000000001</v>
      </c>
      <c r="P216" s="14">
        <v>441.16729652591903</v>
      </c>
    </row>
    <row r="217" spans="1:16" x14ac:dyDescent="0.35">
      <c r="A217" s="5">
        <v>2014</v>
      </c>
      <c r="B217" s="5">
        <v>26</v>
      </c>
      <c r="C217" s="5" t="s">
        <v>19</v>
      </c>
      <c r="D217" s="5" t="s">
        <v>67</v>
      </c>
      <c r="E217" s="5">
        <v>544</v>
      </c>
      <c r="F217" s="5">
        <v>9974914</v>
      </c>
      <c r="G217" s="5">
        <v>40829</v>
      </c>
      <c r="H217" s="5">
        <f t="shared" si="156"/>
        <v>5.4536811044185445</v>
      </c>
      <c r="I217" s="6">
        <v>2.3199999999999998</v>
      </c>
      <c r="J217" s="5">
        <v>7.2</v>
      </c>
      <c r="K217">
        <f t="shared" ref="K217" si="202">G217*$V$2/$R$8</f>
        <v>54100.80503598947</v>
      </c>
      <c r="L217" s="10">
        <v>1052</v>
      </c>
      <c r="M217" s="8">
        <f t="shared" si="180"/>
        <v>10.546456841632921</v>
      </c>
      <c r="N217">
        <v>0.49556868537666177</v>
      </c>
      <c r="O217">
        <v>0.45979999999999999</v>
      </c>
      <c r="P217" s="14">
        <v>436.93755337139999</v>
      </c>
    </row>
    <row r="218" spans="1:16" x14ac:dyDescent="0.35">
      <c r="A218" s="5">
        <v>2015</v>
      </c>
      <c r="B218" s="5">
        <v>26</v>
      </c>
      <c r="C218" s="5" t="s">
        <v>19</v>
      </c>
      <c r="D218" s="5" t="s">
        <v>67</v>
      </c>
      <c r="E218" s="5">
        <v>585</v>
      </c>
      <c r="F218" s="5">
        <v>9987448</v>
      </c>
      <c r="G218" s="5">
        <v>42982</v>
      </c>
      <c r="H218" s="5">
        <f t="shared" si="156"/>
        <v>5.8573521484166928</v>
      </c>
      <c r="I218" s="6">
        <v>2.2400000000000002</v>
      </c>
      <c r="J218" s="5">
        <v>5.4</v>
      </c>
      <c r="K218">
        <f t="shared" ref="K218" si="203">G218*$V$2/$R$9</f>
        <v>56886.133053747202</v>
      </c>
      <c r="L218" s="10">
        <v>1309</v>
      </c>
      <c r="M218" s="8">
        <f t="shared" si="180"/>
        <v>13.10645121756829</v>
      </c>
      <c r="N218">
        <v>0.49078014184397162</v>
      </c>
      <c r="O218">
        <v>0.4667</v>
      </c>
      <c r="P218" s="14">
        <v>429.52220541535701</v>
      </c>
    </row>
    <row r="219" spans="1:16" x14ac:dyDescent="0.35">
      <c r="A219" s="5">
        <v>2016</v>
      </c>
      <c r="B219" s="5">
        <v>26</v>
      </c>
      <c r="C219" s="5" t="s">
        <v>19</v>
      </c>
      <c r="D219" s="5" t="s">
        <v>67</v>
      </c>
      <c r="E219" s="5">
        <v>612</v>
      </c>
      <c r="F219" s="5">
        <v>10017194</v>
      </c>
      <c r="G219" s="5">
        <v>44080</v>
      </c>
      <c r="H219" s="5">
        <f t="shared" si="156"/>
        <v>6.1094953337231956</v>
      </c>
      <c r="I219" s="6">
        <v>2.34</v>
      </c>
      <c r="J219" s="5">
        <v>5</v>
      </c>
      <c r="K219">
        <f t="shared" ref="K219" si="204">G219*$V$2/$R$10</f>
        <v>57612.532634464835</v>
      </c>
      <c r="L219" s="10">
        <v>1762</v>
      </c>
      <c r="M219" s="8">
        <f t="shared" si="180"/>
        <v>17.589756173235738</v>
      </c>
      <c r="N219">
        <v>0.5256598240469208</v>
      </c>
      <c r="O219">
        <v>0.46949999999999997</v>
      </c>
      <c r="P219" s="14">
        <v>413.25303965388099</v>
      </c>
    </row>
    <row r="220" spans="1:16" x14ac:dyDescent="0.35">
      <c r="A220" s="5">
        <v>2017</v>
      </c>
      <c r="B220" s="5">
        <v>26</v>
      </c>
      <c r="C220" s="5" t="s">
        <v>19</v>
      </c>
      <c r="D220" s="5" t="s">
        <v>67</v>
      </c>
      <c r="E220" s="5">
        <v>569</v>
      </c>
      <c r="F220" s="5">
        <v>10049914</v>
      </c>
      <c r="G220" s="5">
        <v>45264</v>
      </c>
      <c r="H220" s="5">
        <f t="shared" si="156"/>
        <v>5.6617399910088784</v>
      </c>
      <c r="I220" s="6">
        <v>2.34</v>
      </c>
      <c r="J220" s="5">
        <v>4.6000000000000005</v>
      </c>
      <c r="K220">
        <f t="shared" ref="K220" si="205">G220*$V$2/$R$11</f>
        <v>57925.990926892955</v>
      </c>
      <c r="L220" s="10">
        <v>2033</v>
      </c>
      <c r="M220" s="8">
        <f t="shared" si="180"/>
        <v>20.229028825520299</v>
      </c>
      <c r="N220">
        <v>0.46808510638297873</v>
      </c>
      <c r="O220">
        <v>0.46710000000000002</v>
      </c>
      <c r="P220" s="14">
        <v>397.138631478658</v>
      </c>
    </row>
    <row r="221" spans="1:16" x14ac:dyDescent="0.35">
      <c r="A221" s="5">
        <v>2018</v>
      </c>
      <c r="B221" s="5">
        <v>26</v>
      </c>
      <c r="C221" s="5" t="s">
        <v>19</v>
      </c>
      <c r="D221" s="5" t="s">
        <v>67</v>
      </c>
      <c r="E221" s="5">
        <v>555</v>
      </c>
      <c r="F221" s="5">
        <v>10070532</v>
      </c>
      <c r="G221" s="5">
        <v>47089</v>
      </c>
      <c r="H221" s="5">
        <f t="shared" si="156"/>
        <v>5.5111289056030008</v>
      </c>
      <c r="I221" s="6">
        <v>2.36</v>
      </c>
      <c r="J221" s="5">
        <v>4.2</v>
      </c>
      <c r="K221">
        <f t="shared" ref="K221" si="206">G221*$V$2/$R$12</f>
        <v>58824.729382295198</v>
      </c>
      <c r="L221" s="10">
        <v>2011</v>
      </c>
      <c r="M221" s="8">
        <f t="shared" si="180"/>
        <v>19.96915356606781</v>
      </c>
      <c r="N221">
        <v>0.52067183462532296</v>
      </c>
      <c r="O221">
        <v>0.46789999999999998</v>
      </c>
      <c r="P221" s="14">
        <v>388.08427779589402</v>
      </c>
    </row>
    <row r="222" spans="1:16" x14ac:dyDescent="0.35">
      <c r="A222" s="5">
        <v>2008</v>
      </c>
      <c r="B222" s="5">
        <v>27</v>
      </c>
      <c r="C222" s="5" t="s">
        <v>20</v>
      </c>
      <c r="D222" s="5" t="s">
        <v>68</v>
      </c>
      <c r="E222" s="5">
        <v>110</v>
      </c>
      <c r="F222" s="5">
        <v>5247018</v>
      </c>
      <c r="G222" s="5">
        <v>42983</v>
      </c>
      <c r="H222" s="5">
        <f t="shared" si="156"/>
        <v>2.0964288668344575</v>
      </c>
      <c r="I222" s="6">
        <v>2.6</v>
      </c>
      <c r="J222" s="5">
        <v>5.4</v>
      </c>
      <c r="K222">
        <f t="shared" ref="K222" si="207">G222*$V$2/$R$2</f>
        <v>62624.739492714922</v>
      </c>
      <c r="L222" s="10">
        <v>227</v>
      </c>
      <c r="M222" s="8">
        <f t="shared" si="180"/>
        <v>4.326266843376561</v>
      </c>
      <c r="N222">
        <v>0.4848993288590604</v>
      </c>
      <c r="O222">
        <v>0.44500000000000001</v>
      </c>
      <c r="P222" s="14">
        <v>189.46</v>
      </c>
    </row>
    <row r="223" spans="1:16" x14ac:dyDescent="0.35">
      <c r="A223" s="5">
        <v>2009</v>
      </c>
      <c r="B223" s="5">
        <v>27</v>
      </c>
      <c r="C223" s="5" t="s">
        <v>20</v>
      </c>
      <c r="D223" s="5" t="s">
        <v>68</v>
      </c>
      <c r="E223" s="5">
        <v>74</v>
      </c>
      <c r="F223" s="5">
        <v>5281203</v>
      </c>
      <c r="G223" s="5">
        <v>40963</v>
      </c>
      <c r="H223" s="5">
        <f t="shared" si="156"/>
        <v>1.4011959017670785</v>
      </c>
      <c r="I223" s="6">
        <v>2.59</v>
      </c>
      <c r="J223" s="5">
        <v>7.9</v>
      </c>
      <c r="K223">
        <f t="shared" ref="K223" si="208">G223*$V$2/$R$3</f>
        <v>59894.7617753581</v>
      </c>
      <c r="L223" s="10">
        <v>272</v>
      </c>
      <c r="M223" s="8">
        <f t="shared" si="180"/>
        <v>5.1503416929816934</v>
      </c>
      <c r="N223">
        <v>0.48116438356164382</v>
      </c>
      <c r="O223">
        <v>0.439</v>
      </c>
      <c r="P223" s="14">
        <v>189.62</v>
      </c>
    </row>
    <row r="224" spans="1:16" x14ac:dyDescent="0.35">
      <c r="A224" s="5">
        <v>2010</v>
      </c>
      <c r="B224" s="5">
        <v>27</v>
      </c>
      <c r="C224" s="5" t="s">
        <v>20</v>
      </c>
      <c r="D224" s="5" t="s">
        <v>68</v>
      </c>
      <c r="E224" s="5">
        <v>96</v>
      </c>
      <c r="F224" s="5">
        <v>5312197</v>
      </c>
      <c r="G224" s="5">
        <v>42538</v>
      </c>
      <c r="H224" s="5">
        <f t="shared" si="156"/>
        <v>1.807161895539642</v>
      </c>
      <c r="I224" s="6">
        <v>2.44</v>
      </c>
      <c r="J224" s="5">
        <v>7.4</v>
      </c>
      <c r="K224">
        <f t="shared" ref="K224" si="209">G224*$V$2/$R$4</f>
        <v>61193.92578970539</v>
      </c>
      <c r="L224" s="10">
        <v>235</v>
      </c>
      <c r="M224" s="8">
        <f t="shared" si="180"/>
        <v>4.4237817234564156</v>
      </c>
      <c r="N224">
        <v>0.46204620462046203</v>
      </c>
      <c r="O224">
        <v>0.44</v>
      </c>
      <c r="P224" s="14">
        <v>184.46</v>
      </c>
    </row>
    <row r="225" spans="1:16" x14ac:dyDescent="0.35">
      <c r="A225" s="5">
        <v>2011</v>
      </c>
      <c r="B225" s="5">
        <v>27</v>
      </c>
      <c r="C225" s="5" t="s">
        <v>20</v>
      </c>
      <c r="D225" s="5" t="s">
        <v>68</v>
      </c>
      <c r="E225" s="5">
        <v>75</v>
      </c>
      <c r="F225" s="5">
        <v>5352946</v>
      </c>
      <c r="G225" s="5">
        <v>45134</v>
      </c>
      <c r="H225" s="5">
        <f t="shared" si="156"/>
        <v>1.4010976385713585</v>
      </c>
      <c r="I225" s="6">
        <v>2.46999999999999</v>
      </c>
      <c r="J225" s="5">
        <v>6.5</v>
      </c>
      <c r="K225">
        <f t="shared" ref="K225" si="210">G225*$V$2/$R$5</f>
        <v>62941.683416392894</v>
      </c>
      <c r="L225" s="10">
        <v>286</v>
      </c>
      <c r="M225" s="8">
        <f t="shared" si="180"/>
        <v>5.3428523284187808</v>
      </c>
      <c r="N225">
        <v>0.47144948755490484</v>
      </c>
      <c r="O225">
        <v>0.44359999999999999</v>
      </c>
      <c r="P225" s="14">
        <v>182.696106093493</v>
      </c>
    </row>
    <row r="226" spans="1:16" x14ac:dyDescent="0.35">
      <c r="A226" s="5">
        <v>2012</v>
      </c>
      <c r="B226" s="5">
        <v>27</v>
      </c>
      <c r="C226" s="5" t="s">
        <v>20</v>
      </c>
      <c r="D226" s="5" t="s">
        <v>68</v>
      </c>
      <c r="E226" s="5">
        <v>99</v>
      </c>
      <c r="F226" s="5">
        <v>5388902</v>
      </c>
      <c r="G226" s="5">
        <v>47399</v>
      </c>
      <c r="H226" s="5">
        <f t="shared" si="156"/>
        <v>1.8371089323947623</v>
      </c>
      <c r="I226" s="6">
        <v>2.71</v>
      </c>
      <c r="J226" s="5">
        <v>5.6000000000000005</v>
      </c>
      <c r="K226">
        <f t="shared" ref="K226" si="211">G226*$V$2/$R$6</f>
        <v>64760.163205484467</v>
      </c>
      <c r="L226" s="10">
        <v>290</v>
      </c>
      <c r="M226" s="8">
        <f t="shared" si="180"/>
        <v>5.3814302060048593</v>
      </c>
      <c r="N226">
        <v>0.47256097560975607</v>
      </c>
      <c r="O226">
        <v>0.44409999999999999</v>
      </c>
      <c r="P226" s="14">
        <v>184.172198967502</v>
      </c>
    </row>
    <row r="227" spans="1:16" x14ac:dyDescent="0.35">
      <c r="A227" s="5">
        <v>2013</v>
      </c>
      <c r="B227" s="5">
        <v>27</v>
      </c>
      <c r="C227" s="5" t="s">
        <v>20</v>
      </c>
      <c r="D227" s="5" t="s">
        <v>68</v>
      </c>
      <c r="E227" s="5">
        <v>114</v>
      </c>
      <c r="F227" s="5">
        <v>5431187</v>
      </c>
      <c r="G227" s="5">
        <v>47413</v>
      </c>
      <c r="H227" s="5">
        <f t="shared" si="156"/>
        <v>2.0989886741148851</v>
      </c>
      <c r="I227" s="6">
        <v>2.73</v>
      </c>
      <c r="J227" s="5">
        <v>5</v>
      </c>
      <c r="K227">
        <f t="shared" ref="K227" si="212">G227*$V$2/$R$7</f>
        <v>63844.128130942627</v>
      </c>
      <c r="L227" s="10">
        <v>305</v>
      </c>
      <c r="M227" s="8">
        <f t="shared" si="180"/>
        <v>5.6157153123249115</v>
      </c>
      <c r="N227">
        <v>0.5</v>
      </c>
      <c r="O227">
        <v>0.44619999999999999</v>
      </c>
      <c r="P227" s="14">
        <v>189.11145187564799</v>
      </c>
    </row>
    <row r="228" spans="1:16" x14ac:dyDescent="0.35">
      <c r="A228" s="5">
        <v>2014</v>
      </c>
      <c r="B228" s="5">
        <v>27</v>
      </c>
      <c r="C228" s="5" t="s">
        <v>20</v>
      </c>
      <c r="D228" s="5" t="s">
        <v>68</v>
      </c>
      <c r="E228" s="5">
        <v>88</v>
      </c>
      <c r="F228" s="5">
        <v>5474193</v>
      </c>
      <c r="G228" s="5">
        <v>49357</v>
      </c>
      <c r="H228" s="5">
        <f t="shared" si="156"/>
        <v>1.6075428834898586</v>
      </c>
      <c r="I228" s="6">
        <v>2.8099999999999898</v>
      </c>
      <c r="J228" s="5">
        <v>4.3</v>
      </c>
      <c r="K228">
        <f t="shared" ref="K228" si="213">G228*$V$2/$R$8</f>
        <v>65400.902156832934</v>
      </c>
      <c r="L228" s="10">
        <v>318</v>
      </c>
      <c r="M228" s="8">
        <f t="shared" si="180"/>
        <v>5.8090754198838077</v>
      </c>
      <c r="N228">
        <v>0.44897959183673469</v>
      </c>
      <c r="O228">
        <v>0.45390000000000003</v>
      </c>
      <c r="P228" s="14">
        <v>194.27228254864301</v>
      </c>
    </row>
    <row r="229" spans="1:16" x14ac:dyDescent="0.35">
      <c r="A229" s="5">
        <v>2015</v>
      </c>
      <c r="B229" s="5">
        <v>27</v>
      </c>
      <c r="C229" s="5" t="s">
        <v>20</v>
      </c>
      <c r="D229" s="5" t="s">
        <v>68</v>
      </c>
      <c r="E229" s="5">
        <v>133</v>
      </c>
      <c r="F229" s="5">
        <v>5510593</v>
      </c>
      <c r="G229" s="5">
        <v>51353</v>
      </c>
      <c r="H229" s="5">
        <f t="shared" si="156"/>
        <v>2.4135333529440479</v>
      </c>
      <c r="I229" s="6">
        <v>2.73</v>
      </c>
      <c r="J229" s="5">
        <v>3.8000000000000003</v>
      </c>
      <c r="K229">
        <f t="shared" ref="K229" si="214">G229*$V$2/$R$9</f>
        <v>67965.045616981064</v>
      </c>
      <c r="L229" s="10">
        <v>338</v>
      </c>
      <c r="M229" s="8">
        <f t="shared" si="180"/>
        <v>6.1336411525946479</v>
      </c>
      <c r="N229">
        <v>0.41643835616438357</v>
      </c>
      <c r="O229">
        <v>0.44919999999999999</v>
      </c>
      <c r="P229" s="14">
        <v>196.26129324887</v>
      </c>
    </row>
    <row r="230" spans="1:16" x14ac:dyDescent="0.35">
      <c r="A230" s="5">
        <v>2016</v>
      </c>
      <c r="B230" s="5">
        <v>27</v>
      </c>
      <c r="C230" s="5" t="s">
        <v>20</v>
      </c>
      <c r="D230" s="5" t="s">
        <v>68</v>
      </c>
      <c r="E230" s="5">
        <v>101</v>
      </c>
      <c r="F230" s="5">
        <v>5557028</v>
      </c>
      <c r="G230" s="5">
        <v>51982</v>
      </c>
      <c r="H230" s="5">
        <f t="shared" si="156"/>
        <v>1.8175182849537559</v>
      </c>
      <c r="I230" s="6">
        <v>2.77</v>
      </c>
      <c r="J230" s="5">
        <v>3.9000000000000004</v>
      </c>
      <c r="K230">
        <f t="shared" ref="K230" si="215">G230*$V$2/$R$10</f>
        <v>67940.441728782913</v>
      </c>
      <c r="L230" s="10">
        <v>396</v>
      </c>
      <c r="M230" s="8">
        <f t="shared" si="180"/>
        <v>7.126111295462251</v>
      </c>
      <c r="N230">
        <v>0.44563758389261743</v>
      </c>
      <c r="O230">
        <v>0.4496</v>
      </c>
      <c r="P230" s="14">
        <v>190.77077914698199</v>
      </c>
    </row>
    <row r="231" spans="1:16" x14ac:dyDescent="0.35">
      <c r="A231" s="5">
        <v>2017</v>
      </c>
      <c r="B231" s="5">
        <v>27</v>
      </c>
      <c r="C231" s="5" t="s">
        <v>20</v>
      </c>
      <c r="D231" s="5" t="s">
        <v>68</v>
      </c>
      <c r="E231" s="5">
        <v>114</v>
      </c>
      <c r="F231" s="5">
        <v>5606013</v>
      </c>
      <c r="G231" s="5">
        <v>53826</v>
      </c>
      <c r="H231" s="5">
        <f t="shared" si="156"/>
        <v>2.0335307820370732</v>
      </c>
      <c r="I231" s="6">
        <v>2.77</v>
      </c>
      <c r="J231" s="5">
        <v>3.5</v>
      </c>
      <c r="K231">
        <f t="shared" ref="K231" si="216">G231*$V$2/$R$11</f>
        <v>68883.094459856395</v>
      </c>
      <c r="L231" s="10">
        <v>422</v>
      </c>
      <c r="M231" s="8">
        <f t="shared" si="180"/>
        <v>7.5276314914003946</v>
      </c>
      <c r="N231">
        <v>0.4661558109833972</v>
      </c>
      <c r="O231">
        <v>0.4516</v>
      </c>
      <c r="P231" s="14">
        <v>191.54099993417299</v>
      </c>
    </row>
    <row r="232" spans="1:16" x14ac:dyDescent="0.35">
      <c r="A232" s="5">
        <v>2018</v>
      </c>
      <c r="B232" s="5">
        <v>27</v>
      </c>
      <c r="C232" s="5" t="s">
        <v>20</v>
      </c>
      <c r="D232" s="5" t="s">
        <v>68</v>
      </c>
      <c r="E232" s="5">
        <v>107</v>
      </c>
      <c r="F232" s="5">
        <v>5650556</v>
      </c>
      <c r="G232" s="5">
        <v>56201</v>
      </c>
      <c r="H232" s="5">
        <f t="shared" si="156"/>
        <v>1.893618964222282</v>
      </c>
      <c r="I232" s="6">
        <v>2.79</v>
      </c>
      <c r="J232" s="5">
        <v>3</v>
      </c>
      <c r="K232">
        <f t="shared" ref="K232" si="217">G232*$V$2/$R$12</f>
        <v>70207.662426774245</v>
      </c>
      <c r="L232" s="10">
        <v>343</v>
      </c>
      <c r="M232" s="8">
        <f t="shared" si="180"/>
        <v>6.0701991096097441</v>
      </c>
      <c r="N232">
        <v>0.48173207036535859</v>
      </c>
      <c r="O232">
        <v>0.4536</v>
      </c>
      <c r="P232" s="14">
        <v>179.60583799877</v>
      </c>
    </row>
    <row r="233" spans="1:16" x14ac:dyDescent="0.35">
      <c r="A233" s="5">
        <v>2008</v>
      </c>
      <c r="B233" s="5">
        <v>28</v>
      </c>
      <c r="C233" s="5" t="s">
        <v>21</v>
      </c>
      <c r="D233" s="5" t="s">
        <v>69</v>
      </c>
      <c r="E233" s="5">
        <v>236</v>
      </c>
      <c r="F233" s="5">
        <v>2947806</v>
      </c>
      <c r="G233" s="5">
        <v>30736</v>
      </c>
      <c r="H233" s="5">
        <f t="shared" si="156"/>
        <v>8.0059542588623547</v>
      </c>
      <c r="I233" s="6">
        <v>2.2799999999999998</v>
      </c>
      <c r="J233" s="5">
        <v>6.7</v>
      </c>
      <c r="K233">
        <f t="shared" ref="K233" si="218">G233*$V$2/$R$2</f>
        <v>44781.285462812877</v>
      </c>
      <c r="L233" s="10">
        <v>106</v>
      </c>
      <c r="M233" s="8">
        <f t="shared" si="180"/>
        <v>3.5958947094890235</v>
      </c>
      <c r="N233">
        <v>0.69926650366748166</v>
      </c>
      <c r="O233">
        <v>0.47799999999999998</v>
      </c>
      <c r="P233" s="14">
        <v>737.97</v>
      </c>
    </row>
    <row r="234" spans="1:16" x14ac:dyDescent="0.35">
      <c r="A234" s="5">
        <v>2009</v>
      </c>
      <c r="B234" s="5">
        <v>28</v>
      </c>
      <c r="C234" s="5" t="s">
        <v>21</v>
      </c>
      <c r="D234" s="5" t="s">
        <v>69</v>
      </c>
      <c r="E234" s="5">
        <v>194</v>
      </c>
      <c r="F234" s="5">
        <v>2958774</v>
      </c>
      <c r="G234" s="5">
        <v>30220</v>
      </c>
      <c r="H234" s="5">
        <f t="shared" si="156"/>
        <v>6.5567697972200643</v>
      </c>
      <c r="I234" s="6">
        <v>2.2599999999999998</v>
      </c>
      <c r="J234" s="5">
        <v>9.4</v>
      </c>
      <c r="K234">
        <f t="shared" ref="K234" si="219">G234*$V$2/$R$3</f>
        <v>44186.697772412219</v>
      </c>
      <c r="L234" s="10">
        <v>96</v>
      </c>
      <c r="M234" s="8">
        <f t="shared" si="180"/>
        <v>3.2445871161501354</v>
      </c>
      <c r="N234">
        <v>0.70603674540682415</v>
      </c>
      <c r="O234">
        <v>0.47</v>
      </c>
      <c r="P234" s="14">
        <v>703.52</v>
      </c>
    </row>
    <row r="235" spans="1:16" x14ac:dyDescent="0.35">
      <c r="A235" s="5">
        <v>2010</v>
      </c>
      <c r="B235" s="5">
        <v>28</v>
      </c>
      <c r="C235" s="5" t="s">
        <v>21</v>
      </c>
      <c r="D235" s="5" t="s">
        <v>69</v>
      </c>
      <c r="E235" s="5">
        <v>204</v>
      </c>
      <c r="F235" s="5">
        <v>2970367</v>
      </c>
      <c r="G235" s="5">
        <v>31213</v>
      </c>
      <c r="H235" s="5">
        <f t="shared" si="156"/>
        <v>6.8678382166244107</v>
      </c>
      <c r="I235" s="6">
        <v>2.2200000000000002</v>
      </c>
      <c r="J235" s="5">
        <v>10.100000000000001</v>
      </c>
      <c r="K235">
        <f t="shared" ref="K235" si="220">G235*$V$2/$R$4</f>
        <v>44902.111187034527</v>
      </c>
      <c r="L235" s="10">
        <v>100</v>
      </c>
      <c r="M235" s="8">
        <f t="shared" si="180"/>
        <v>3.3665873610903971</v>
      </c>
      <c r="N235">
        <v>0.65979381443298968</v>
      </c>
      <c r="O235">
        <v>0.46800000000000003</v>
      </c>
      <c r="P235" s="14">
        <v>685.71</v>
      </c>
    </row>
    <row r="236" spans="1:16" x14ac:dyDescent="0.35">
      <c r="A236" s="5">
        <v>2011</v>
      </c>
      <c r="B236" s="5">
        <v>28</v>
      </c>
      <c r="C236" s="5" t="s">
        <v>21</v>
      </c>
      <c r="D236" s="5" t="s">
        <v>69</v>
      </c>
      <c r="E236" s="5">
        <v>232</v>
      </c>
      <c r="F236" s="5">
        <v>2977902</v>
      </c>
      <c r="G236" s="5">
        <v>32454</v>
      </c>
      <c r="H236" s="5">
        <f t="shared" si="156"/>
        <v>7.790719775197438</v>
      </c>
      <c r="I236" s="6">
        <v>2.2200000000000002</v>
      </c>
      <c r="J236" s="5">
        <v>9.8000000000000007</v>
      </c>
      <c r="K236">
        <f t="shared" ref="K236" si="221">G236*$V$2/$R$5</f>
        <v>45258.771515833185</v>
      </c>
      <c r="L236" s="10">
        <v>79</v>
      </c>
      <c r="M236" s="8">
        <f t="shared" si="180"/>
        <v>2.6528744062094725</v>
      </c>
      <c r="N236">
        <v>0.68894601542416456</v>
      </c>
      <c r="O236">
        <v>0.47349999999999998</v>
      </c>
      <c r="P236" s="14">
        <v>690.34393783450298</v>
      </c>
    </row>
    <row r="237" spans="1:16" x14ac:dyDescent="0.35">
      <c r="A237" s="5">
        <v>2012</v>
      </c>
      <c r="B237" s="5">
        <v>28</v>
      </c>
      <c r="C237" s="5" t="s">
        <v>21</v>
      </c>
      <c r="D237" s="5" t="s">
        <v>69</v>
      </c>
      <c r="E237" s="5">
        <v>213</v>
      </c>
      <c r="F237" s="5">
        <v>2982356</v>
      </c>
      <c r="G237" s="5">
        <v>33441</v>
      </c>
      <c r="H237" s="5">
        <f t="shared" ref="H237:H300" si="222">E237/F237*100000</f>
        <v>7.1420045091866973</v>
      </c>
      <c r="I237" s="6">
        <v>2.2400000000000002</v>
      </c>
      <c r="J237" s="5">
        <v>8.8000000000000007</v>
      </c>
      <c r="K237">
        <f t="shared" ref="K237" si="223">G237*$V$2/$R$6</f>
        <v>45689.66893298606</v>
      </c>
      <c r="L237" s="10">
        <v>111</v>
      </c>
      <c r="M237" s="8">
        <f t="shared" si="180"/>
        <v>3.7218896738015177</v>
      </c>
      <c r="N237">
        <v>0.7219512195121951</v>
      </c>
      <c r="O237">
        <v>0.48699999999999999</v>
      </c>
      <c r="P237" s="14">
        <v>716.709198905368</v>
      </c>
    </row>
    <row r="238" spans="1:16" x14ac:dyDescent="0.35">
      <c r="A238" s="5">
        <v>2013</v>
      </c>
      <c r="B238" s="5">
        <v>28</v>
      </c>
      <c r="C238" s="5" t="s">
        <v>21</v>
      </c>
      <c r="D238" s="5" t="s">
        <v>69</v>
      </c>
      <c r="E238" s="5">
        <v>217</v>
      </c>
      <c r="F238" s="5">
        <v>2986599</v>
      </c>
      <c r="G238" s="5">
        <v>33976</v>
      </c>
      <c r="H238" s="5">
        <f t="shared" si="222"/>
        <v>7.2657896155459767</v>
      </c>
      <c r="I238" s="6">
        <v>2.25</v>
      </c>
      <c r="J238" s="5">
        <v>8.5</v>
      </c>
      <c r="K238">
        <f t="shared" ref="K238" si="224">G238*$V$2/$R$7</f>
        <v>45750.49242564079</v>
      </c>
      <c r="L238" s="10">
        <v>100</v>
      </c>
      <c r="M238" s="8">
        <f t="shared" si="180"/>
        <v>3.3482901454128928</v>
      </c>
      <c r="N238">
        <v>0.71907216494845361</v>
      </c>
      <c r="O238">
        <v>0.47910000000000003</v>
      </c>
      <c r="P238" s="14">
        <v>692.79945489889599</v>
      </c>
    </row>
    <row r="239" spans="1:16" x14ac:dyDescent="0.35">
      <c r="A239" s="5">
        <v>2014</v>
      </c>
      <c r="B239" s="5">
        <v>28</v>
      </c>
      <c r="C239" s="5" t="s">
        <v>21</v>
      </c>
      <c r="D239" s="5" t="s">
        <v>69</v>
      </c>
      <c r="E239" s="5">
        <v>259</v>
      </c>
      <c r="F239" s="5">
        <v>2987656</v>
      </c>
      <c r="G239" s="5">
        <v>34623</v>
      </c>
      <c r="H239" s="5">
        <f t="shared" si="222"/>
        <v>8.6690033926261929</v>
      </c>
      <c r="I239" s="6">
        <v>2.2400000000000002</v>
      </c>
      <c r="J239" s="5">
        <v>7.6000000000000005</v>
      </c>
      <c r="K239">
        <f t="shared" ref="K239" si="225">G239*$V$2/$R$8</f>
        <v>45877.493270985411</v>
      </c>
      <c r="L239" s="10">
        <v>115</v>
      </c>
      <c r="M239" s="8">
        <f t="shared" si="180"/>
        <v>3.8491713905483089</v>
      </c>
      <c r="N239">
        <v>0.66052631578947374</v>
      </c>
      <c r="O239">
        <v>0.47599999999999998</v>
      </c>
      <c r="P239" s="14">
        <v>597.03466548390804</v>
      </c>
    </row>
    <row r="240" spans="1:16" x14ac:dyDescent="0.35">
      <c r="A240" s="5">
        <v>2015</v>
      </c>
      <c r="B240" s="5">
        <v>28</v>
      </c>
      <c r="C240" s="5" t="s">
        <v>21</v>
      </c>
      <c r="D240" s="5" t="s">
        <v>69</v>
      </c>
      <c r="E240" s="5">
        <v>253</v>
      </c>
      <c r="F240" s="5">
        <v>2985000</v>
      </c>
      <c r="G240" s="5">
        <v>35100</v>
      </c>
      <c r="H240" s="5">
        <f t="shared" si="222"/>
        <v>8.4757118927973192</v>
      </c>
      <c r="I240" s="6">
        <v>2.2400000000000002</v>
      </c>
      <c r="J240" s="5">
        <v>6.5</v>
      </c>
      <c r="K240">
        <f t="shared" ref="K240" si="226">G240*$V$2/$R$9</f>
        <v>46454.405802115463</v>
      </c>
      <c r="L240" s="10">
        <v>150</v>
      </c>
      <c r="M240" s="8">
        <f t="shared" si="180"/>
        <v>5.025125628140704</v>
      </c>
      <c r="N240">
        <v>0.6774941995359629</v>
      </c>
      <c r="O240">
        <v>0.47589999999999999</v>
      </c>
      <c r="P240" s="14">
        <v>609.99187837091097</v>
      </c>
    </row>
    <row r="241" spans="1:16" x14ac:dyDescent="0.35">
      <c r="A241" s="5">
        <v>2016</v>
      </c>
      <c r="B241" s="5">
        <v>28</v>
      </c>
      <c r="C241" s="5" t="s">
        <v>21</v>
      </c>
      <c r="D241" s="5" t="s">
        <v>69</v>
      </c>
      <c r="E241" s="5">
        <v>237</v>
      </c>
      <c r="F241" s="5">
        <v>2984364</v>
      </c>
      <c r="G241" s="5">
        <v>35638</v>
      </c>
      <c r="H241" s="5">
        <f t="shared" si="222"/>
        <v>7.9413905274289593</v>
      </c>
      <c r="I241" s="6">
        <v>2.23</v>
      </c>
      <c r="J241" s="5">
        <v>5.9</v>
      </c>
      <c r="K241">
        <f t="shared" ref="K241" si="227">G241*$V$2/$R$10</f>
        <v>46578.84387538697</v>
      </c>
      <c r="L241" s="10">
        <v>180</v>
      </c>
      <c r="M241" s="8">
        <f t="shared" si="180"/>
        <v>6.0314358436169311</v>
      </c>
      <c r="N241">
        <v>0.69973890339425593</v>
      </c>
      <c r="O241">
        <v>0.48280000000000001</v>
      </c>
      <c r="P241" s="14">
        <v>625.18651598686904</v>
      </c>
    </row>
    <row r="242" spans="1:16" x14ac:dyDescent="0.35">
      <c r="A242" s="5">
        <v>2017</v>
      </c>
      <c r="B242" s="5">
        <v>28</v>
      </c>
      <c r="C242" s="5" t="s">
        <v>21</v>
      </c>
      <c r="D242" s="5" t="s">
        <v>69</v>
      </c>
      <c r="E242" s="5">
        <v>190</v>
      </c>
      <c r="F242" s="5">
        <v>2983448</v>
      </c>
      <c r="G242" s="5">
        <v>36579</v>
      </c>
      <c r="H242" s="5">
        <f t="shared" si="222"/>
        <v>6.3684703068396029</v>
      </c>
      <c r="I242" s="6">
        <v>2.2000000000000002</v>
      </c>
      <c r="J242" s="5">
        <v>5.2</v>
      </c>
      <c r="K242">
        <f t="shared" ref="K242" si="228">G242*$V$2/$R$11</f>
        <v>46811.479809889031</v>
      </c>
      <c r="L242" s="10">
        <v>185</v>
      </c>
      <c r="M242" s="8">
        <f t="shared" si="180"/>
        <v>6.2008789829754027</v>
      </c>
      <c r="N242">
        <v>0.6629213483146067</v>
      </c>
      <c r="O242">
        <v>0.47899999999999998</v>
      </c>
      <c r="P242" s="14">
        <v>618.03142052870805</v>
      </c>
    </row>
    <row r="243" spans="1:16" x14ac:dyDescent="0.35">
      <c r="A243" s="5">
        <v>2018</v>
      </c>
      <c r="B243" s="5">
        <v>28</v>
      </c>
      <c r="C243" s="5" t="s">
        <v>21</v>
      </c>
      <c r="D243" s="5" t="s">
        <v>69</v>
      </c>
      <c r="E243" s="5">
        <v>214</v>
      </c>
      <c r="F243" s="5">
        <v>2974657</v>
      </c>
      <c r="G243" s="5">
        <v>37624</v>
      </c>
      <c r="H243" s="5">
        <f t="shared" si="222"/>
        <v>7.1941067491142672</v>
      </c>
      <c r="I243" s="6">
        <v>2.17</v>
      </c>
      <c r="J243" s="5">
        <v>4.9000000000000004</v>
      </c>
      <c r="K243">
        <f t="shared" ref="K243" si="229">G243*$V$2/$R$12</f>
        <v>47000.820112541667</v>
      </c>
      <c r="L243" s="10">
        <v>173</v>
      </c>
      <c r="M243" s="8">
        <f t="shared" si="180"/>
        <v>5.815796577554992</v>
      </c>
      <c r="N243">
        <v>0.74346793349168649</v>
      </c>
      <c r="O243">
        <v>0.48280000000000001</v>
      </c>
      <c r="P243" s="14">
        <v>626.91800222666905</v>
      </c>
    </row>
    <row r="244" spans="1:16" x14ac:dyDescent="0.35">
      <c r="A244" s="5">
        <v>2008</v>
      </c>
      <c r="B244" s="5">
        <v>29</v>
      </c>
      <c r="C244" s="5" t="s">
        <v>22</v>
      </c>
      <c r="D244" s="5" t="s">
        <v>70</v>
      </c>
      <c r="E244" s="5">
        <v>456</v>
      </c>
      <c r="F244" s="5">
        <v>5923916</v>
      </c>
      <c r="G244" s="5">
        <v>37124</v>
      </c>
      <c r="H244" s="5">
        <f t="shared" si="222"/>
        <v>7.6976108371556915</v>
      </c>
      <c r="I244" s="6">
        <v>2.42</v>
      </c>
      <c r="J244" s="5">
        <v>6.2</v>
      </c>
      <c r="K244">
        <f t="shared" ref="K244" si="230">G244*$V$2/$R$2</f>
        <v>54088.379799631221</v>
      </c>
      <c r="L244" s="10">
        <v>475</v>
      </c>
      <c r="M244" s="8">
        <f t="shared" si="180"/>
        <v>8.0183446220371799</v>
      </c>
      <c r="N244">
        <v>0.54043645699614895</v>
      </c>
      <c r="O244">
        <v>0.44800000000000001</v>
      </c>
      <c r="P244" s="14">
        <v>506.6</v>
      </c>
    </row>
    <row r="245" spans="1:16" x14ac:dyDescent="0.35">
      <c r="A245" s="5">
        <v>2009</v>
      </c>
      <c r="B245" s="5">
        <v>29</v>
      </c>
      <c r="C245" s="5" t="s">
        <v>22</v>
      </c>
      <c r="D245" s="5" t="s">
        <v>70</v>
      </c>
      <c r="E245" s="5">
        <v>387</v>
      </c>
      <c r="F245" s="5">
        <v>5961088</v>
      </c>
      <c r="G245" s="5">
        <v>36306</v>
      </c>
      <c r="H245" s="5">
        <f t="shared" si="222"/>
        <v>6.4921034549397696</v>
      </c>
      <c r="I245" s="6">
        <v>2.4299999999999899</v>
      </c>
      <c r="J245" s="5">
        <v>9</v>
      </c>
      <c r="K245">
        <f t="shared" ref="K245" si="231">G245*$V$2/$R$3</f>
        <v>53085.4483562276</v>
      </c>
      <c r="L245" s="10">
        <v>526</v>
      </c>
      <c r="M245" s="8">
        <f t="shared" si="180"/>
        <v>8.8238925511584458</v>
      </c>
      <c r="N245">
        <v>0.54767441860465116</v>
      </c>
      <c r="O245">
        <v>0.45</v>
      </c>
      <c r="P245" s="14">
        <v>510.29</v>
      </c>
    </row>
    <row r="246" spans="1:16" x14ac:dyDescent="0.35">
      <c r="A246" s="5">
        <v>2010</v>
      </c>
      <c r="B246" s="5">
        <v>29</v>
      </c>
      <c r="C246" s="5" t="s">
        <v>22</v>
      </c>
      <c r="D246" s="5" t="s">
        <v>70</v>
      </c>
      <c r="E246" s="5">
        <v>420</v>
      </c>
      <c r="F246" s="5">
        <v>5996167</v>
      </c>
      <c r="G246" s="5">
        <v>36984</v>
      </c>
      <c r="H246" s="5">
        <f t="shared" si="222"/>
        <v>7.0044746919156848</v>
      </c>
      <c r="I246" s="6">
        <v>2.4099999999999899</v>
      </c>
      <c r="J246" s="5">
        <v>9.5</v>
      </c>
      <c r="K246">
        <f t="shared" ref="K246" si="232">G246*$V$2/$R$4</f>
        <v>53204.103422973916</v>
      </c>
      <c r="L246" s="10">
        <v>599</v>
      </c>
      <c r="M246" s="8">
        <f t="shared" si="180"/>
        <v>9.9897150963273713</v>
      </c>
      <c r="N246">
        <v>0.57126168224299068</v>
      </c>
      <c r="O246">
        <v>0.45500000000000002</v>
      </c>
      <c r="P246" s="14">
        <v>510.6</v>
      </c>
    </row>
    <row r="247" spans="1:16" x14ac:dyDescent="0.35">
      <c r="A247" s="5">
        <v>2011</v>
      </c>
      <c r="B247" s="5">
        <v>29</v>
      </c>
      <c r="C247" s="5" t="s">
        <v>22</v>
      </c>
      <c r="D247" s="5" t="s">
        <v>70</v>
      </c>
      <c r="E247" s="5">
        <v>366</v>
      </c>
      <c r="F247" s="5">
        <v>6011574</v>
      </c>
      <c r="G247" s="5">
        <v>38402</v>
      </c>
      <c r="H247" s="5">
        <f t="shared" si="222"/>
        <v>6.0882557546492819</v>
      </c>
      <c r="I247" s="6">
        <v>2.44999999999999</v>
      </c>
      <c r="J247" s="5">
        <v>8.6</v>
      </c>
      <c r="K247">
        <f t="shared" ref="K247" si="233">G247*$V$2/$R$5</f>
        <v>53553.56331272034</v>
      </c>
      <c r="L247" s="10">
        <v>595</v>
      </c>
      <c r="M247" s="8">
        <f t="shared" si="180"/>
        <v>9.8975742459462364</v>
      </c>
      <c r="N247">
        <v>0.54983922829581988</v>
      </c>
      <c r="O247">
        <v>0.46110000000000001</v>
      </c>
      <c r="P247" s="14">
        <v>512.39494150231099</v>
      </c>
    </row>
    <row r="248" spans="1:16" x14ac:dyDescent="0.35">
      <c r="A248" s="5">
        <v>2012</v>
      </c>
      <c r="B248" s="5">
        <v>29</v>
      </c>
      <c r="C248" s="5" t="s">
        <v>22</v>
      </c>
      <c r="D248" s="5" t="s">
        <v>70</v>
      </c>
      <c r="E248" s="5">
        <v>390</v>
      </c>
      <c r="F248" s="5">
        <v>6026733</v>
      </c>
      <c r="G248" s="5">
        <v>39983</v>
      </c>
      <c r="H248" s="5">
        <f t="shared" si="222"/>
        <v>6.4711677122580351</v>
      </c>
      <c r="I248" s="6">
        <v>2.42</v>
      </c>
      <c r="J248" s="5">
        <v>7.2</v>
      </c>
      <c r="K248">
        <f t="shared" ref="K248" si="234">G248*$V$2/$R$6</f>
        <v>54627.853023162628</v>
      </c>
      <c r="L248" s="10">
        <v>539</v>
      </c>
      <c r="M248" s="8">
        <f t="shared" si="180"/>
        <v>8.9434856330950776</v>
      </c>
      <c r="N248">
        <v>0.59737417943107218</v>
      </c>
      <c r="O248">
        <v>0.46079999999999999</v>
      </c>
      <c r="P248" s="14">
        <v>517.960689761043</v>
      </c>
    </row>
    <row r="249" spans="1:16" x14ac:dyDescent="0.35">
      <c r="A249" s="5">
        <v>2013</v>
      </c>
      <c r="B249" s="5">
        <v>29</v>
      </c>
      <c r="C249" s="5" t="s">
        <v>22</v>
      </c>
      <c r="D249" s="5" t="s">
        <v>70</v>
      </c>
      <c r="E249" s="5">
        <v>369</v>
      </c>
      <c r="F249" s="5">
        <v>6044008</v>
      </c>
      <c r="G249" s="5">
        <v>40121</v>
      </c>
      <c r="H249" s="5">
        <f t="shared" si="222"/>
        <v>6.1052202445794244</v>
      </c>
      <c r="I249" s="6">
        <v>2.44</v>
      </c>
      <c r="J249" s="5">
        <v>6.8000000000000007</v>
      </c>
      <c r="K249">
        <f t="shared" ref="K249" si="235">G249*$V$2/$R$7</f>
        <v>54025.062002858904</v>
      </c>
      <c r="L249" s="10">
        <v>620</v>
      </c>
      <c r="M249" s="8">
        <f t="shared" si="180"/>
        <v>10.258093635878708</v>
      </c>
      <c r="N249">
        <v>0.57916666666666672</v>
      </c>
      <c r="O249">
        <v>0.46050000000000002</v>
      </c>
      <c r="P249" s="14">
        <v>520.78430906287201</v>
      </c>
    </row>
    <row r="250" spans="1:16" x14ac:dyDescent="0.35">
      <c r="A250" s="5">
        <v>2014</v>
      </c>
      <c r="B250" s="5">
        <v>29</v>
      </c>
      <c r="C250" s="5" t="s">
        <v>22</v>
      </c>
      <c r="D250" s="5" t="s">
        <v>70</v>
      </c>
      <c r="E250" s="5">
        <v>404</v>
      </c>
      <c r="F250" s="5">
        <v>6060462</v>
      </c>
      <c r="G250" s="5">
        <v>41380</v>
      </c>
      <c r="H250" s="5">
        <f t="shared" si="222"/>
        <v>6.6661584545864656</v>
      </c>
      <c r="I250" s="6">
        <v>2.4</v>
      </c>
      <c r="J250" s="5">
        <v>6.2</v>
      </c>
      <c r="K250">
        <f t="shared" ref="K250" si="236">G250*$V$2/$R$8</f>
        <v>54830.912155312253</v>
      </c>
      <c r="L250" s="10">
        <v>696</v>
      </c>
      <c r="M250" s="8">
        <f t="shared" si="180"/>
        <v>11.484272981168763</v>
      </c>
      <c r="N250">
        <v>0.57817109144542778</v>
      </c>
      <c r="O250">
        <v>0.46279999999999999</v>
      </c>
      <c r="P250" s="14">
        <v>525.63295915161405</v>
      </c>
    </row>
    <row r="251" spans="1:16" x14ac:dyDescent="0.35">
      <c r="A251" s="5">
        <v>2015</v>
      </c>
      <c r="B251" s="5">
        <v>29</v>
      </c>
      <c r="C251" s="5" t="s">
        <v>22</v>
      </c>
      <c r="D251" s="5" t="s">
        <v>70</v>
      </c>
      <c r="E251" s="5">
        <v>503</v>
      </c>
      <c r="F251" s="5">
        <v>6077056</v>
      </c>
      <c r="G251" s="5">
        <v>42677</v>
      </c>
      <c r="H251" s="5">
        <f t="shared" si="222"/>
        <v>8.277034142848116</v>
      </c>
      <c r="I251" s="6">
        <v>2.5299999999999998</v>
      </c>
      <c r="J251" s="5">
        <v>5.1000000000000005</v>
      </c>
      <c r="K251">
        <f t="shared" ref="K251" si="237">G251*$V$2/$R$9</f>
        <v>56482.469413586376</v>
      </c>
      <c r="L251" s="10">
        <v>692</v>
      </c>
      <c r="M251" s="8">
        <f t="shared" si="180"/>
        <v>11.387092697516692</v>
      </c>
      <c r="N251">
        <v>0.57509505703422048</v>
      </c>
      <c r="O251">
        <v>0.46339999999999998</v>
      </c>
      <c r="P251" s="14">
        <v>531.23215525493094</v>
      </c>
    </row>
    <row r="252" spans="1:16" x14ac:dyDescent="0.35">
      <c r="A252" s="5">
        <v>2016</v>
      </c>
      <c r="B252" s="5">
        <v>29</v>
      </c>
      <c r="C252" s="5" t="s">
        <v>22</v>
      </c>
      <c r="D252" s="5" t="s">
        <v>70</v>
      </c>
      <c r="E252" s="5">
        <v>538</v>
      </c>
      <c r="F252" s="5">
        <v>6093343</v>
      </c>
      <c r="G252" s="5">
        <v>43826</v>
      </c>
      <c r="H252" s="5">
        <f t="shared" si="222"/>
        <v>8.8293076559123627</v>
      </c>
      <c r="I252" s="6">
        <v>2.48999999999999</v>
      </c>
      <c r="J252" s="5">
        <v>4.5</v>
      </c>
      <c r="K252">
        <f t="shared" ref="K252" si="238">G252*$V$2/$R$10</f>
        <v>57280.554792151896</v>
      </c>
      <c r="L252" s="10">
        <v>914</v>
      </c>
      <c r="M252" s="8">
        <f t="shared" si="180"/>
        <v>14.999976203538846</v>
      </c>
      <c r="N252">
        <v>0.57369814651368045</v>
      </c>
      <c r="O252">
        <v>0.46460000000000001</v>
      </c>
      <c r="P252" s="14">
        <v>531.79063100928704</v>
      </c>
    </row>
    <row r="253" spans="1:16" x14ac:dyDescent="0.35">
      <c r="A253" s="5">
        <v>2017</v>
      </c>
      <c r="B253" s="5">
        <v>29</v>
      </c>
      <c r="C253" s="5" t="s">
        <v>22</v>
      </c>
      <c r="D253" s="5" t="s">
        <v>70</v>
      </c>
      <c r="E253" s="5">
        <v>599</v>
      </c>
      <c r="F253" s="5">
        <v>6113654</v>
      </c>
      <c r="G253" s="5">
        <v>44781</v>
      </c>
      <c r="H253" s="5">
        <f t="shared" si="222"/>
        <v>9.7977412526125942</v>
      </c>
      <c r="I253" s="6">
        <v>2.5299999999999998</v>
      </c>
      <c r="J253" s="5">
        <v>3.7</v>
      </c>
      <c r="K253">
        <f t="shared" ref="K253" si="239">G253*$V$2/$R$11</f>
        <v>57307.878218831596</v>
      </c>
      <c r="L253" s="10">
        <v>952</v>
      </c>
      <c r="M253" s="8">
        <f t="shared" si="180"/>
        <v>15.571702291297479</v>
      </c>
      <c r="N253">
        <v>0.60903562119895738</v>
      </c>
      <c r="O253">
        <v>0.46179999999999999</v>
      </c>
      <c r="P253" s="14">
        <v>532.67139476814498</v>
      </c>
    </row>
    <row r="254" spans="1:16" x14ac:dyDescent="0.35">
      <c r="A254" s="5">
        <v>2018</v>
      </c>
      <c r="B254" s="5">
        <v>29</v>
      </c>
      <c r="C254" s="5" t="s">
        <v>22</v>
      </c>
      <c r="D254" s="5" t="s">
        <v>70</v>
      </c>
      <c r="E254" s="5">
        <v>599</v>
      </c>
      <c r="F254" s="5">
        <v>6128572</v>
      </c>
      <c r="G254" s="5">
        <v>46680</v>
      </c>
      <c r="H254" s="5">
        <f t="shared" si="222"/>
        <v>9.7738918625741853</v>
      </c>
      <c r="I254" s="6">
        <v>2.5099999999999998</v>
      </c>
      <c r="J254" s="5">
        <v>3.2</v>
      </c>
      <c r="K254">
        <f t="shared" ref="K254" si="240">G254*$V$2/$R$12</f>
        <v>58313.79658870522</v>
      </c>
      <c r="L254" s="10">
        <v>1132</v>
      </c>
      <c r="M254" s="8">
        <f t="shared" si="180"/>
        <v>18.470860748637691</v>
      </c>
      <c r="N254">
        <v>0.59024390243902436</v>
      </c>
      <c r="O254">
        <v>0.4657</v>
      </c>
      <c r="P254" s="14">
        <v>495.296106038971</v>
      </c>
    </row>
    <row r="255" spans="1:16" x14ac:dyDescent="0.35">
      <c r="A255" s="5">
        <v>2008</v>
      </c>
      <c r="B255" s="5">
        <v>30</v>
      </c>
      <c r="C255" s="5" t="s">
        <v>23</v>
      </c>
      <c r="D255" s="5" t="s">
        <v>71</v>
      </c>
      <c r="E255" s="5">
        <v>40</v>
      </c>
      <c r="F255" s="5">
        <v>976415</v>
      </c>
      <c r="G255" s="5">
        <v>35569</v>
      </c>
      <c r="H255" s="5">
        <f t="shared" si="222"/>
        <v>4.0966187532964984</v>
      </c>
      <c r="I255" s="6">
        <v>2.96999999999999</v>
      </c>
      <c r="J255" s="5">
        <v>4.7</v>
      </c>
      <c r="K255">
        <f t="shared" ref="K255" si="241">G255*$V$2/$R$2</f>
        <v>51822.798758029385</v>
      </c>
      <c r="L255" s="10">
        <v>70</v>
      </c>
      <c r="M255" s="8">
        <f t="shared" si="180"/>
        <v>7.1690828182688717</v>
      </c>
      <c r="N255">
        <v>0.65024630541871919</v>
      </c>
      <c r="O255">
        <v>0.44900000000000001</v>
      </c>
      <c r="P255" s="14">
        <v>363.31</v>
      </c>
    </row>
    <row r="256" spans="1:16" x14ac:dyDescent="0.35">
      <c r="A256" s="5">
        <v>2009</v>
      </c>
      <c r="B256" s="5">
        <v>30</v>
      </c>
      <c r="C256" s="5" t="s">
        <v>23</v>
      </c>
      <c r="D256" s="5" t="s">
        <v>71</v>
      </c>
      <c r="E256" s="5">
        <v>32</v>
      </c>
      <c r="F256" s="5">
        <v>983982</v>
      </c>
      <c r="G256" s="5">
        <v>34479</v>
      </c>
      <c r="H256" s="5">
        <f t="shared" si="222"/>
        <v>3.2520920098131874</v>
      </c>
      <c r="I256" s="6">
        <v>2.96</v>
      </c>
      <c r="J256" s="5">
        <v>7.1000000000000005</v>
      </c>
      <c r="K256">
        <f t="shared" ref="K256" si="242">G256*$V$2/$R$3</f>
        <v>50414.068580244908</v>
      </c>
      <c r="L256" s="10">
        <v>89</v>
      </c>
      <c r="M256" s="8">
        <f t="shared" si="180"/>
        <v>9.0448809022929275</v>
      </c>
      <c r="N256">
        <v>0.62100456621004563</v>
      </c>
      <c r="O256">
        <v>0.43099999999999999</v>
      </c>
      <c r="P256" s="14">
        <v>369.75</v>
      </c>
    </row>
    <row r="257" spans="1:16" x14ac:dyDescent="0.35">
      <c r="A257" s="5">
        <v>2010</v>
      </c>
      <c r="B257" s="5">
        <v>30</v>
      </c>
      <c r="C257" s="5" t="s">
        <v>23</v>
      </c>
      <c r="D257" s="5" t="s">
        <v>71</v>
      </c>
      <c r="E257" s="5">
        <v>25</v>
      </c>
      <c r="F257" s="5">
        <v>990874</v>
      </c>
      <c r="G257" s="5">
        <v>35999</v>
      </c>
      <c r="H257" s="5">
        <f t="shared" si="222"/>
        <v>2.5230251273118478</v>
      </c>
      <c r="I257" s="6">
        <v>2.98</v>
      </c>
      <c r="J257" s="5">
        <v>7.2</v>
      </c>
      <c r="K257">
        <f t="shared" ref="K257" si="243">G257*$V$2/$R$4</f>
        <v>51787.111159518659</v>
      </c>
      <c r="L257" s="10">
        <v>54</v>
      </c>
      <c r="M257" s="8">
        <f t="shared" si="180"/>
        <v>5.4497342749935909</v>
      </c>
      <c r="N257">
        <v>0.62114537444933926</v>
      </c>
      <c r="O257">
        <v>0.435</v>
      </c>
      <c r="P257" s="14">
        <v>374.99</v>
      </c>
    </row>
    <row r="258" spans="1:16" x14ac:dyDescent="0.35">
      <c r="A258" s="5">
        <v>2011</v>
      </c>
      <c r="B258" s="5">
        <v>30</v>
      </c>
      <c r="C258" s="5" t="s">
        <v>23</v>
      </c>
      <c r="D258" s="5" t="s">
        <v>71</v>
      </c>
      <c r="E258" s="5">
        <v>29</v>
      </c>
      <c r="F258" s="5">
        <v>998243</v>
      </c>
      <c r="G258" s="5">
        <v>38150</v>
      </c>
      <c r="H258" s="5">
        <f t="shared" si="222"/>
        <v>2.9051042681992261</v>
      </c>
      <c r="I258" s="6">
        <v>2.98</v>
      </c>
      <c r="J258" s="5">
        <v>6.6000000000000005</v>
      </c>
      <c r="K258">
        <f t="shared" ref="K258" si="244">G258*$V$2/$R$5</f>
        <v>53202.136356967894</v>
      </c>
      <c r="L258" s="10">
        <v>63</v>
      </c>
      <c r="M258" s="8">
        <f t="shared" si="180"/>
        <v>6.3110885826396972</v>
      </c>
      <c r="N258">
        <v>0.65517241379310343</v>
      </c>
      <c r="O258">
        <v>0.43509999999999999</v>
      </c>
      <c r="P258" s="14">
        <v>367.216126359089</v>
      </c>
    </row>
    <row r="259" spans="1:16" x14ac:dyDescent="0.35">
      <c r="A259" s="5">
        <v>2012</v>
      </c>
      <c r="B259" s="5">
        <v>30</v>
      </c>
      <c r="C259" s="5" t="s">
        <v>23</v>
      </c>
      <c r="D259" s="5" t="s">
        <v>71</v>
      </c>
      <c r="E259" s="5">
        <v>29</v>
      </c>
      <c r="F259" s="5">
        <v>1005475</v>
      </c>
      <c r="G259" s="5">
        <v>40217</v>
      </c>
      <c r="H259" s="5">
        <f t="shared" si="222"/>
        <v>2.884208955966086</v>
      </c>
      <c r="I259" s="6">
        <v>3.08</v>
      </c>
      <c r="J259" s="5">
        <v>5.8000000000000007</v>
      </c>
      <c r="K259">
        <f t="shared" ref="K259" si="245">G259*$V$2/$R$6</f>
        <v>54947.561839595117</v>
      </c>
      <c r="L259" s="10">
        <v>51</v>
      </c>
      <c r="M259" s="8">
        <f t="shared" ref="M259:M322" si="246">L259/F259*100000</f>
        <v>5.0722295432507023</v>
      </c>
      <c r="N259">
        <v>0.6566523605150214</v>
      </c>
      <c r="O259">
        <v>0.45019999999999999</v>
      </c>
      <c r="P259" s="14">
        <v>357.86210856043101</v>
      </c>
    </row>
    <row r="260" spans="1:16" x14ac:dyDescent="0.35">
      <c r="A260" s="5">
        <v>2013</v>
      </c>
      <c r="B260" s="5">
        <v>30</v>
      </c>
      <c r="C260" s="5" t="s">
        <v>23</v>
      </c>
      <c r="D260" s="5" t="s">
        <v>71</v>
      </c>
      <c r="E260" s="5">
        <v>23</v>
      </c>
      <c r="F260" s="5">
        <v>1016046</v>
      </c>
      <c r="G260" s="5">
        <v>40142</v>
      </c>
      <c r="H260" s="5">
        <f t="shared" si="222"/>
        <v>2.2636770382443316</v>
      </c>
      <c r="I260" s="6">
        <v>3.07</v>
      </c>
      <c r="J260" s="5">
        <v>5.4</v>
      </c>
      <c r="K260">
        <f t="shared" ref="K260" si="247">G260*$V$2/$R$7</f>
        <v>54053.339620616687</v>
      </c>
      <c r="L260" s="10">
        <v>67</v>
      </c>
      <c r="M260" s="8">
        <f t="shared" si="246"/>
        <v>6.5941896331465308</v>
      </c>
      <c r="N260">
        <v>0.60493827160493829</v>
      </c>
      <c r="O260">
        <v>0.46200000000000002</v>
      </c>
      <c r="P260" s="14">
        <v>357.24410012643801</v>
      </c>
    </row>
    <row r="261" spans="1:16" x14ac:dyDescent="0.35">
      <c r="A261" s="5">
        <v>2014</v>
      </c>
      <c r="B261" s="5">
        <v>30</v>
      </c>
      <c r="C261" s="5" t="s">
        <v>23</v>
      </c>
      <c r="D261" s="5" t="s">
        <v>71</v>
      </c>
      <c r="E261" s="5">
        <v>38</v>
      </c>
      <c r="F261" s="5">
        <v>1025126</v>
      </c>
      <c r="G261" s="5">
        <v>41850</v>
      </c>
      <c r="H261" s="5">
        <f t="shared" si="222"/>
        <v>3.7068614004522367</v>
      </c>
      <c r="I261" s="6">
        <v>3.09</v>
      </c>
      <c r="J261" s="5">
        <v>4.7</v>
      </c>
      <c r="K261">
        <f t="shared" ref="K261" si="248">G261*$V$2/$R$8</f>
        <v>55453.689552919714</v>
      </c>
      <c r="L261" s="10">
        <v>53</v>
      </c>
      <c r="M261" s="8">
        <f t="shared" si="246"/>
        <v>5.1700961637886467</v>
      </c>
      <c r="N261">
        <v>0.59362549800796816</v>
      </c>
      <c r="O261">
        <v>0.45440000000000003</v>
      </c>
      <c r="P261" s="14">
        <v>359.63109374908902</v>
      </c>
    </row>
    <row r="262" spans="1:16" x14ac:dyDescent="0.35">
      <c r="A262" s="5">
        <v>2015</v>
      </c>
      <c r="B262" s="5">
        <v>30</v>
      </c>
      <c r="C262" s="5" t="s">
        <v>23</v>
      </c>
      <c r="D262" s="5" t="s">
        <v>71</v>
      </c>
      <c r="E262" s="5">
        <v>38</v>
      </c>
      <c r="F262" s="5">
        <v>1034544</v>
      </c>
      <c r="G262" s="5">
        <v>43095</v>
      </c>
      <c r="H262" s="5">
        <f t="shared" si="222"/>
        <v>3.6731158848729488</v>
      </c>
      <c r="I262" s="6">
        <v>3.09</v>
      </c>
      <c r="J262" s="5">
        <v>4.3</v>
      </c>
      <c r="K262">
        <f t="shared" ref="K262" si="249">G262*$V$2/$R$9</f>
        <v>57035.687123708427</v>
      </c>
      <c r="L262" s="10">
        <v>48</v>
      </c>
      <c r="M262" s="8">
        <f t="shared" si="246"/>
        <v>4.6397253282605666</v>
      </c>
      <c r="N262">
        <v>0.63970588235294112</v>
      </c>
      <c r="O262">
        <v>0.46229999999999999</v>
      </c>
      <c r="P262" s="14">
        <v>355.18996638948698</v>
      </c>
    </row>
    <row r="263" spans="1:16" x14ac:dyDescent="0.35">
      <c r="A263" s="5">
        <v>2016</v>
      </c>
      <c r="B263" s="5">
        <v>30</v>
      </c>
      <c r="C263" s="5" t="s">
        <v>23</v>
      </c>
      <c r="D263" s="5" t="s">
        <v>71</v>
      </c>
      <c r="E263" s="5">
        <v>37</v>
      </c>
      <c r="F263" s="5">
        <v>1045768</v>
      </c>
      <c r="G263" s="5">
        <v>43301</v>
      </c>
      <c r="H263" s="5">
        <f t="shared" si="222"/>
        <v>3.5380696292103027</v>
      </c>
      <c r="I263" s="6">
        <v>3.12</v>
      </c>
      <c r="J263" s="5">
        <v>4.3</v>
      </c>
      <c r="K263">
        <f t="shared" ref="K263" si="250">G263*$V$2/$R$10</f>
        <v>56594.380118079891</v>
      </c>
      <c r="L263" s="10">
        <v>42</v>
      </c>
      <c r="M263" s="8">
        <f t="shared" si="246"/>
        <v>4.0161871466711547</v>
      </c>
      <c r="N263">
        <v>0.6067415730337079</v>
      </c>
      <c r="O263">
        <v>0.4667</v>
      </c>
      <c r="P263" s="14">
        <v>365.007163289505</v>
      </c>
    </row>
    <row r="264" spans="1:16" x14ac:dyDescent="0.35">
      <c r="A264" s="5">
        <v>2017</v>
      </c>
      <c r="B264" s="5">
        <v>30</v>
      </c>
      <c r="C264" s="5" t="s">
        <v>23</v>
      </c>
      <c r="D264" s="5" t="s">
        <v>71</v>
      </c>
      <c r="E264" s="5">
        <v>41</v>
      </c>
      <c r="F264" s="5">
        <v>1058073</v>
      </c>
      <c r="G264" s="5">
        <v>45369</v>
      </c>
      <c r="H264" s="5">
        <f t="shared" si="222"/>
        <v>3.8749689293649872</v>
      </c>
      <c r="I264" s="6">
        <v>3.1</v>
      </c>
      <c r="J264" s="5">
        <v>4.1000000000000005</v>
      </c>
      <c r="K264">
        <f t="shared" ref="K264" si="251">G264*$V$2/$R$11</f>
        <v>58060.36325473238</v>
      </c>
      <c r="L264" s="10">
        <v>38</v>
      </c>
      <c r="M264" s="8">
        <f t="shared" si="246"/>
        <v>3.5914346174602318</v>
      </c>
      <c r="N264">
        <v>0.68488745980707399</v>
      </c>
      <c r="O264">
        <v>0.45390000000000003</v>
      </c>
      <c r="P264" s="14">
        <v>349.56044994800999</v>
      </c>
    </row>
    <row r="265" spans="1:16" x14ac:dyDescent="0.35">
      <c r="A265" s="5">
        <v>2018</v>
      </c>
      <c r="B265" s="5">
        <v>30</v>
      </c>
      <c r="C265" s="5" t="s">
        <v>23</v>
      </c>
      <c r="D265" s="5" t="s">
        <v>71</v>
      </c>
      <c r="E265" s="5">
        <v>37</v>
      </c>
      <c r="F265" s="5">
        <v>1066610</v>
      </c>
      <c r="G265" s="5">
        <v>47208</v>
      </c>
      <c r="H265" s="5">
        <f t="shared" si="222"/>
        <v>3.4689342871340045</v>
      </c>
      <c r="I265" s="6">
        <v>3.1</v>
      </c>
      <c r="J265" s="5">
        <v>3.7</v>
      </c>
      <c r="K265">
        <f t="shared" ref="K265" si="252">G265*$V$2/$R$12</f>
        <v>58973.387089965632</v>
      </c>
      <c r="L265" s="10">
        <v>64</v>
      </c>
      <c r="M265" s="8">
        <f t="shared" si="246"/>
        <v>6.0003187669344937</v>
      </c>
      <c r="N265">
        <v>0.60377358490566035</v>
      </c>
      <c r="O265">
        <v>0.45350000000000001</v>
      </c>
      <c r="P265" s="14">
        <v>353.52710186651001</v>
      </c>
    </row>
    <row r="266" spans="1:16" x14ac:dyDescent="0.35">
      <c r="A266" s="5">
        <v>2008</v>
      </c>
      <c r="B266" s="5">
        <v>31</v>
      </c>
      <c r="C266" s="5" t="s">
        <v>24</v>
      </c>
      <c r="D266" s="5" t="s">
        <v>72</v>
      </c>
      <c r="E266" s="5">
        <v>69</v>
      </c>
      <c r="F266" s="5">
        <v>1796378</v>
      </c>
      <c r="G266" s="5">
        <v>40291</v>
      </c>
      <c r="H266" s="5">
        <f t="shared" si="222"/>
        <v>3.8410624044605313</v>
      </c>
      <c r="I266" s="6">
        <v>2.3299999999999899</v>
      </c>
      <c r="J266" s="5">
        <v>3.2</v>
      </c>
      <c r="K266">
        <f t="shared" ref="K266" si="253">G266*$V$2/$R$2</f>
        <v>58702.588904938631</v>
      </c>
      <c r="L266" s="10">
        <v>29</v>
      </c>
      <c r="M266" s="8">
        <f t="shared" si="246"/>
        <v>1.6143595612950059</v>
      </c>
      <c r="N266">
        <v>0.51308900523560208</v>
      </c>
      <c r="O266">
        <v>0.42699999999999999</v>
      </c>
      <c r="P266" s="14">
        <v>248.27</v>
      </c>
    </row>
    <row r="267" spans="1:16" x14ac:dyDescent="0.35">
      <c r="A267" s="5">
        <v>2009</v>
      </c>
      <c r="B267" s="5">
        <v>31</v>
      </c>
      <c r="C267" s="5" t="s">
        <v>24</v>
      </c>
      <c r="D267" s="5" t="s">
        <v>72</v>
      </c>
      <c r="E267" s="5">
        <v>41</v>
      </c>
      <c r="F267" s="5">
        <v>1812683</v>
      </c>
      <c r="G267" s="5">
        <v>39422</v>
      </c>
      <c r="H267" s="5">
        <f t="shared" si="222"/>
        <v>2.261840597611386</v>
      </c>
      <c r="I267" s="6">
        <v>2.29</v>
      </c>
      <c r="J267" s="5">
        <v>4.7</v>
      </c>
      <c r="K267">
        <f t="shared" ref="K267" si="254">G267*$V$2/$R$3</f>
        <v>57641.561865785392</v>
      </c>
      <c r="L267" s="10">
        <v>66</v>
      </c>
      <c r="M267" s="8">
        <f t="shared" si="246"/>
        <v>3.6410116937158894</v>
      </c>
      <c r="N267">
        <v>0.54705882352941182</v>
      </c>
      <c r="O267">
        <v>0.44</v>
      </c>
      <c r="P267" s="14">
        <v>244.46</v>
      </c>
    </row>
    <row r="268" spans="1:16" x14ac:dyDescent="0.35">
      <c r="A268" s="5">
        <v>2010</v>
      </c>
      <c r="B268" s="5">
        <v>31</v>
      </c>
      <c r="C268" s="5" t="s">
        <v>24</v>
      </c>
      <c r="D268" s="5" t="s">
        <v>72</v>
      </c>
      <c r="E268" s="5">
        <v>54</v>
      </c>
      <c r="F268" s="5">
        <v>1830194</v>
      </c>
      <c r="G268" s="5">
        <v>41085</v>
      </c>
      <c r="H268" s="5">
        <f t="shared" si="222"/>
        <v>2.9505068861552384</v>
      </c>
      <c r="I268" s="6">
        <v>2.2799999999999998</v>
      </c>
      <c r="J268" s="5">
        <v>4.7</v>
      </c>
      <c r="K268">
        <f t="shared" ref="K268" si="255">G268*$V$2/$R$4</f>
        <v>59103.682379755664</v>
      </c>
      <c r="L268" s="10">
        <v>58</v>
      </c>
      <c r="M268" s="8">
        <f t="shared" si="246"/>
        <v>3.1690629517963664</v>
      </c>
      <c r="N268">
        <v>0.54922279792746109</v>
      </c>
      <c r="O268">
        <v>0.432</v>
      </c>
      <c r="P268" s="14">
        <v>245.77</v>
      </c>
    </row>
    <row r="269" spans="1:16" x14ac:dyDescent="0.35">
      <c r="A269" s="5">
        <v>2011</v>
      </c>
      <c r="B269" s="5">
        <v>31</v>
      </c>
      <c r="C269" s="5" t="s">
        <v>24</v>
      </c>
      <c r="D269" s="5" t="s">
        <v>72</v>
      </c>
      <c r="E269" s="5">
        <v>68</v>
      </c>
      <c r="F269" s="5">
        <v>1843937</v>
      </c>
      <c r="G269" s="5">
        <v>45607</v>
      </c>
      <c r="H269" s="5">
        <f t="shared" si="222"/>
        <v>3.68776156669127</v>
      </c>
      <c r="I269" s="6">
        <v>2.29</v>
      </c>
      <c r="J269" s="5">
        <v>4.4000000000000004</v>
      </c>
      <c r="K269">
        <f t="shared" ref="K269" si="256">G269*$V$2/$R$5</f>
        <v>63601.306234134594</v>
      </c>
      <c r="L269" s="10">
        <v>53</v>
      </c>
      <c r="M269" s="8">
        <f t="shared" si="246"/>
        <v>2.8742847505093718</v>
      </c>
      <c r="N269">
        <v>0.57512953367875652</v>
      </c>
      <c r="O269">
        <v>0.44669999999999999</v>
      </c>
      <c r="P269" s="14">
        <v>243.94345876241499</v>
      </c>
    </row>
    <row r="270" spans="1:16" x14ac:dyDescent="0.35">
      <c r="A270" s="5">
        <v>2012</v>
      </c>
      <c r="B270" s="5">
        <v>31</v>
      </c>
      <c r="C270" s="5" t="s">
        <v>24</v>
      </c>
      <c r="D270" s="5" t="s">
        <v>72</v>
      </c>
      <c r="E270" s="5">
        <v>52</v>
      </c>
      <c r="F270" s="5">
        <v>1859140</v>
      </c>
      <c r="G270" s="5">
        <v>46385</v>
      </c>
      <c r="H270" s="5">
        <f t="shared" si="222"/>
        <v>2.7969921576642962</v>
      </c>
      <c r="I270" s="6">
        <v>2.3199999999999998</v>
      </c>
      <c r="J270" s="5">
        <v>3.9000000000000004</v>
      </c>
      <c r="K270">
        <f t="shared" ref="K270" si="257">G270*$V$2/$R$6</f>
        <v>63374.75833427703</v>
      </c>
      <c r="L270" s="10">
        <v>53</v>
      </c>
      <c r="M270" s="8">
        <f t="shared" si="246"/>
        <v>2.8507804683886095</v>
      </c>
      <c r="N270">
        <v>0.49568965517241381</v>
      </c>
      <c r="O270">
        <v>0.43390000000000001</v>
      </c>
      <c r="P270" s="14">
        <v>246.543613103627</v>
      </c>
    </row>
    <row r="271" spans="1:16" x14ac:dyDescent="0.35">
      <c r="A271" s="5">
        <v>2013</v>
      </c>
      <c r="B271" s="5">
        <v>31</v>
      </c>
      <c r="C271" s="5" t="s">
        <v>24</v>
      </c>
      <c r="D271" s="5" t="s">
        <v>72</v>
      </c>
      <c r="E271" s="5">
        <v>56</v>
      </c>
      <c r="F271" s="5">
        <v>1873681</v>
      </c>
      <c r="G271" s="5">
        <v>45911</v>
      </c>
      <c r="H271" s="5">
        <f t="shared" si="222"/>
        <v>2.9887691661494138</v>
      </c>
      <c r="I271" s="6">
        <v>2.3199999999999998</v>
      </c>
      <c r="J271" s="5">
        <v>3.7</v>
      </c>
      <c r="K271">
        <f t="shared" ref="K271" si="258">G271*$V$2/$R$7</f>
        <v>61821.605184647815</v>
      </c>
      <c r="L271" s="10">
        <v>41</v>
      </c>
      <c r="M271" s="8">
        <f t="shared" si="246"/>
        <v>2.1882059966451068</v>
      </c>
      <c r="N271">
        <v>0.50454545454545452</v>
      </c>
      <c r="O271">
        <v>0.44450000000000001</v>
      </c>
      <c r="P271" s="14">
        <v>262.79198220542702</v>
      </c>
    </row>
    <row r="272" spans="1:16" x14ac:dyDescent="0.35">
      <c r="A272" s="5">
        <v>2014</v>
      </c>
      <c r="B272" s="5">
        <v>31</v>
      </c>
      <c r="C272" s="5" t="s">
        <v>24</v>
      </c>
      <c r="D272" s="5" t="s">
        <v>72</v>
      </c>
      <c r="E272" s="5">
        <v>53</v>
      </c>
      <c r="F272" s="5">
        <v>1890242</v>
      </c>
      <c r="G272" s="5">
        <v>48187</v>
      </c>
      <c r="H272" s="5">
        <f t="shared" si="222"/>
        <v>2.8038737897052335</v>
      </c>
      <c r="I272" s="6">
        <v>2.2999999999999998</v>
      </c>
      <c r="J272" s="5">
        <v>3.3000000000000003</v>
      </c>
      <c r="K272">
        <f t="shared" ref="K272" si="259">G272*$V$2/$R$8</f>
        <v>63850.583954278191</v>
      </c>
      <c r="L272" s="10">
        <v>56</v>
      </c>
      <c r="M272" s="8">
        <f t="shared" si="246"/>
        <v>2.9625836268583599</v>
      </c>
      <c r="N272">
        <v>0.52988047808764938</v>
      </c>
      <c r="O272">
        <v>0.43519999999999998</v>
      </c>
      <c r="P272" s="14">
        <v>282.86949331603802</v>
      </c>
    </row>
    <row r="273" spans="1:16" x14ac:dyDescent="0.35">
      <c r="A273" s="5">
        <v>2015</v>
      </c>
      <c r="B273" s="5">
        <v>31</v>
      </c>
      <c r="C273" s="5" t="s">
        <v>24</v>
      </c>
      <c r="D273" s="5" t="s">
        <v>72</v>
      </c>
      <c r="E273" s="5">
        <v>62</v>
      </c>
      <c r="F273" s="5">
        <v>1904766</v>
      </c>
      <c r="G273" s="5">
        <v>49708</v>
      </c>
      <c r="H273" s="5">
        <f t="shared" si="222"/>
        <v>3.2549930017650461</v>
      </c>
      <c r="I273" s="6">
        <v>2.27</v>
      </c>
      <c r="J273" s="5">
        <v>3</v>
      </c>
      <c r="K273">
        <f t="shared" ref="K273" si="260">G273*$V$2/$R$9</f>
        <v>65787.908934802152</v>
      </c>
      <c r="L273" s="10">
        <v>55</v>
      </c>
      <c r="M273" s="8">
        <f t="shared" si="246"/>
        <v>2.8874937918883474</v>
      </c>
      <c r="N273">
        <v>0.5112107623318386</v>
      </c>
      <c r="O273">
        <v>0.44729999999999998</v>
      </c>
      <c r="P273" s="14">
        <v>279.47539438018799</v>
      </c>
    </row>
    <row r="274" spans="1:16" x14ac:dyDescent="0.35">
      <c r="A274" s="5">
        <v>2016</v>
      </c>
      <c r="B274" s="5">
        <v>31</v>
      </c>
      <c r="C274" s="5" t="s">
        <v>24</v>
      </c>
      <c r="D274" s="5" t="s">
        <v>72</v>
      </c>
      <c r="E274" s="5">
        <v>49</v>
      </c>
      <c r="F274" s="5">
        <v>1921616</v>
      </c>
      <c r="G274" s="5">
        <v>48688</v>
      </c>
      <c r="H274" s="5">
        <f t="shared" si="222"/>
        <v>2.5499371362436616</v>
      </c>
      <c r="I274" s="6">
        <v>2.2400000000000002</v>
      </c>
      <c r="J274" s="5">
        <v>3.1</v>
      </c>
      <c r="K274">
        <f t="shared" ref="K274" si="261">G274*$V$2/$R$10</f>
        <v>63635.185773748271</v>
      </c>
      <c r="L274" s="10">
        <v>44</v>
      </c>
      <c r="M274" s="8">
        <f t="shared" si="246"/>
        <v>2.2897394692800228</v>
      </c>
      <c r="N274">
        <v>0.47154471544715448</v>
      </c>
      <c r="O274">
        <v>0.44769999999999999</v>
      </c>
      <c r="P274" s="14">
        <v>273.46625133925301</v>
      </c>
    </row>
    <row r="275" spans="1:16" x14ac:dyDescent="0.35">
      <c r="A275" s="5">
        <v>2017</v>
      </c>
      <c r="B275" s="5">
        <v>31</v>
      </c>
      <c r="C275" s="5" t="s">
        <v>24</v>
      </c>
      <c r="D275" s="5" t="s">
        <v>72</v>
      </c>
      <c r="E275" s="5">
        <v>42</v>
      </c>
      <c r="F275" s="5">
        <v>1934551</v>
      </c>
      <c r="G275" s="5">
        <v>49533</v>
      </c>
      <c r="H275" s="5">
        <f t="shared" si="222"/>
        <v>2.1710464081846381</v>
      </c>
      <c r="I275" s="6">
        <v>2.2000000000000002</v>
      </c>
      <c r="J275" s="5">
        <v>3</v>
      </c>
      <c r="K275">
        <f t="shared" ref="K275" si="262">G275*$V$2/$R$11</f>
        <v>63389.185855907315</v>
      </c>
      <c r="L275" s="10">
        <v>59</v>
      </c>
      <c r="M275" s="8">
        <f t="shared" si="246"/>
        <v>3.049803287687944</v>
      </c>
      <c r="N275">
        <v>0.45818181818181819</v>
      </c>
      <c r="O275">
        <v>0.43909999999999999</v>
      </c>
      <c r="P275" s="14">
        <v>273.27275969099401</v>
      </c>
    </row>
    <row r="276" spans="1:16" x14ac:dyDescent="0.35">
      <c r="A276" s="5">
        <v>2018</v>
      </c>
      <c r="B276" s="5">
        <v>31</v>
      </c>
      <c r="C276" s="5" t="s">
        <v>24</v>
      </c>
      <c r="D276" s="5" t="s">
        <v>72</v>
      </c>
      <c r="E276" s="5">
        <v>44</v>
      </c>
      <c r="F276" s="5">
        <v>1945483</v>
      </c>
      <c r="G276" s="5">
        <v>51436</v>
      </c>
      <c r="H276" s="5">
        <f t="shared" si="222"/>
        <v>2.2616491637295213</v>
      </c>
      <c r="I276" s="6">
        <v>2.16</v>
      </c>
      <c r="J276" s="5">
        <v>2.9000000000000004</v>
      </c>
      <c r="K276">
        <f t="shared" ref="K276" si="263">G276*$V$2/$R$12</f>
        <v>64255.10799778581</v>
      </c>
      <c r="L276" s="10">
        <v>63</v>
      </c>
      <c r="M276" s="8">
        <f t="shared" si="246"/>
        <v>3.2382703935218142</v>
      </c>
      <c r="N276">
        <v>0.5350553505535055</v>
      </c>
      <c r="O276">
        <v>0.44879999999999998</v>
      </c>
      <c r="P276" s="14">
        <v>280.41038445698598</v>
      </c>
    </row>
    <row r="277" spans="1:16" x14ac:dyDescent="0.35">
      <c r="A277" s="5">
        <v>2008</v>
      </c>
      <c r="B277" s="5">
        <v>32</v>
      </c>
      <c r="C277" s="5" t="s">
        <v>25</v>
      </c>
      <c r="D277" s="5" t="s">
        <v>73</v>
      </c>
      <c r="E277" s="5">
        <v>165</v>
      </c>
      <c r="F277" s="5">
        <v>2653630</v>
      </c>
      <c r="G277" s="5">
        <v>38640</v>
      </c>
      <c r="H277" s="5">
        <f t="shared" si="222"/>
        <v>6.2178977476136463</v>
      </c>
      <c r="I277" s="6">
        <v>3.53</v>
      </c>
      <c r="J277" s="5">
        <v>6.9</v>
      </c>
      <c r="K277">
        <f t="shared" ref="K277" si="264">G277*$V$2/$R$2</f>
        <v>56297.1391945305</v>
      </c>
      <c r="L277" s="10">
        <v>397</v>
      </c>
      <c r="M277" s="8">
        <f t="shared" si="246"/>
        <v>14.960638823046166</v>
      </c>
      <c r="N277">
        <v>0.55113636363636365</v>
      </c>
      <c r="O277">
        <v>0.43099999999999999</v>
      </c>
      <c r="P277" s="14">
        <v>487.16</v>
      </c>
    </row>
    <row r="278" spans="1:16" x14ac:dyDescent="0.35">
      <c r="A278" s="5">
        <v>2009</v>
      </c>
      <c r="B278" s="5">
        <v>32</v>
      </c>
      <c r="C278" s="5" t="s">
        <v>25</v>
      </c>
      <c r="D278" s="5" t="s">
        <v>73</v>
      </c>
      <c r="E278" s="5">
        <v>156</v>
      </c>
      <c r="F278" s="5">
        <v>2684665</v>
      </c>
      <c r="G278" s="5">
        <v>36125</v>
      </c>
      <c r="H278" s="5">
        <f t="shared" si="222"/>
        <v>5.8107808609267826</v>
      </c>
      <c r="I278" s="6">
        <v>3.21</v>
      </c>
      <c r="J278" s="5">
        <v>11.700000000000001</v>
      </c>
      <c r="K278">
        <f t="shared" ref="K278" si="265">G278*$V$2/$R$3</f>
        <v>52820.796063149945</v>
      </c>
      <c r="L278" s="10">
        <v>439</v>
      </c>
      <c r="M278" s="8">
        <f t="shared" si="246"/>
        <v>16.352133320172165</v>
      </c>
      <c r="N278">
        <v>0.58415841584158412</v>
      </c>
      <c r="O278">
        <v>0.433</v>
      </c>
      <c r="P278" s="14">
        <v>472.25</v>
      </c>
    </row>
    <row r="279" spans="1:16" x14ac:dyDescent="0.35">
      <c r="A279" s="5">
        <v>2010</v>
      </c>
      <c r="B279" s="5">
        <v>32</v>
      </c>
      <c r="C279" s="5" t="s">
        <v>25</v>
      </c>
      <c r="D279" s="5" t="s">
        <v>73</v>
      </c>
      <c r="E279" s="5">
        <v>158</v>
      </c>
      <c r="F279" s="5">
        <v>2701888</v>
      </c>
      <c r="G279" s="5">
        <v>37289</v>
      </c>
      <c r="H279" s="5">
        <f t="shared" si="222"/>
        <v>5.8477627496032403</v>
      </c>
      <c r="I279" s="6">
        <v>3.3</v>
      </c>
      <c r="J279" s="5">
        <v>13.8</v>
      </c>
      <c r="K279">
        <f t="shared" ref="K279" si="266">G279*$V$2/$R$4</f>
        <v>53642.867524856003</v>
      </c>
      <c r="L279" s="10">
        <v>439</v>
      </c>
      <c r="M279" s="8">
        <f t="shared" si="246"/>
        <v>16.247897766302675</v>
      </c>
      <c r="N279">
        <v>0.52833638025594154</v>
      </c>
      <c r="O279">
        <v>0.44800000000000001</v>
      </c>
      <c r="P279" s="14">
        <v>464.3</v>
      </c>
    </row>
    <row r="280" spans="1:16" x14ac:dyDescent="0.35">
      <c r="A280" s="5">
        <v>2011</v>
      </c>
      <c r="B280" s="5">
        <v>32</v>
      </c>
      <c r="C280" s="5" t="s">
        <v>25</v>
      </c>
      <c r="D280" s="5" t="s">
        <v>73</v>
      </c>
      <c r="E280" s="5">
        <v>139</v>
      </c>
      <c r="F280" s="5">
        <v>2710129</v>
      </c>
      <c r="G280" s="5">
        <v>38595</v>
      </c>
      <c r="H280" s="5">
        <f t="shared" si="222"/>
        <v>5.1289071479623294</v>
      </c>
      <c r="I280" s="6">
        <v>3.3499999999999899</v>
      </c>
      <c r="J280" s="5">
        <v>13.3</v>
      </c>
      <c r="K280">
        <f t="shared" ref="K280" si="267">G280*$V$2/$R$5</f>
        <v>53822.71173518154</v>
      </c>
      <c r="L280" s="10">
        <v>461</v>
      </c>
      <c r="M280" s="8">
        <f t="shared" si="246"/>
        <v>17.010260397198806</v>
      </c>
      <c r="N280">
        <v>0.52713178294573648</v>
      </c>
      <c r="O280">
        <v>0.4526</v>
      </c>
      <c r="P280" s="14">
        <v>461.26053793657098</v>
      </c>
    </row>
    <row r="281" spans="1:16" x14ac:dyDescent="0.35">
      <c r="A281" s="5">
        <v>2012</v>
      </c>
      <c r="B281" s="5">
        <v>32</v>
      </c>
      <c r="C281" s="5" t="s">
        <v>25</v>
      </c>
      <c r="D281" s="5" t="s">
        <v>73</v>
      </c>
      <c r="E281" s="5">
        <v>124</v>
      </c>
      <c r="F281" s="5">
        <v>2739290</v>
      </c>
      <c r="G281" s="5">
        <v>39680</v>
      </c>
      <c r="H281" s="5">
        <f t="shared" si="222"/>
        <v>4.5267204275560458</v>
      </c>
      <c r="I281" s="6">
        <v>3.28</v>
      </c>
      <c r="J281" s="5">
        <v>11.600000000000001</v>
      </c>
      <c r="K281">
        <f t="shared" ref="K281" si="268">G281*$V$2/$R$6</f>
        <v>54213.871094192364</v>
      </c>
      <c r="L281" s="10">
        <v>446</v>
      </c>
      <c r="M281" s="8">
        <f t="shared" si="246"/>
        <v>16.281591215241903</v>
      </c>
      <c r="N281">
        <v>0.52290076335877866</v>
      </c>
      <c r="O281">
        <v>0.4516</v>
      </c>
      <c r="P281" s="14">
        <v>459.85867300808701</v>
      </c>
    </row>
    <row r="282" spans="1:16" x14ac:dyDescent="0.35">
      <c r="A282" s="5">
        <v>2013</v>
      </c>
      <c r="B282" s="5">
        <v>32</v>
      </c>
      <c r="C282" s="5" t="s">
        <v>25</v>
      </c>
      <c r="D282" s="5" t="s">
        <v>73</v>
      </c>
      <c r="E282" s="5">
        <v>163</v>
      </c>
      <c r="F282" s="5">
        <v>2769188</v>
      </c>
      <c r="G282" s="5">
        <v>39331</v>
      </c>
      <c r="H282" s="5">
        <f t="shared" si="222"/>
        <v>5.8862020202312015</v>
      </c>
      <c r="I282" s="6">
        <v>3.32</v>
      </c>
      <c r="J282" s="5">
        <v>10</v>
      </c>
      <c r="K282">
        <f t="shared" ref="K282" si="269">G282*$V$2/$R$7</f>
        <v>52961.284953875613</v>
      </c>
      <c r="L282" s="10">
        <v>398</v>
      </c>
      <c r="M282" s="8">
        <f t="shared" si="246"/>
        <v>14.372444196638149</v>
      </c>
      <c r="N282">
        <v>0.53974121996303137</v>
      </c>
      <c r="O282">
        <v>0.45429999999999998</v>
      </c>
      <c r="P282" s="14">
        <v>458.61818677674</v>
      </c>
    </row>
    <row r="283" spans="1:16" x14ac:dyDescent="0.35">
      <c r="A283" s="5">
        <v>2014</v>
      </c>
      <c r="B283" s="5">
        <v>32</v>
      </c>
      <c r="C283" s="5" t="s">
        <v>25</v>
      </c>
      <c r="D283" s="5" t="s">
        <v>73</v>
      </c>
      <c r="E283" s="5">
        <v>170</v>
      </c>
      <c r="F283" s="5">
        <v>2808779</v>
      </c>
      <c r="G283" s="5">
        <v>41126</v>
      </c>
      <c r="H283" s="5">
        <f t="shared" si="222"/>
        <v>6.0524519729035289</v>
      </c>
      <c r="I283" s="6">
        <v>3.38</v>
      </c>
      <c r="J283" s="5">
        <v>8.2000000000000011</v>
      </c>
      <c r="K283">
        <f t="shared" ref="K283" si="270">G283*$V$2/$R$8</f>
        <v>54494.347348945666</v>
      </c>
      <c r="L283" s="10">
        <v>375</v>
      </c>
      <c r="M283" s="8">
        <f t="shared" si="246"/>
        <v>13.350996999051901</v>
      </c>
      <c r="N283">
        <v>0.53926701570680624</v>
      </c>
      <c r="O283">
        <v>0.44269999999999998</v>
      </c>
      <c r="P283" s="14">
        <v>433.227181332881</v>
      </c>
    </row>
    <row r="284" spans="1:16" x14ac:dyDescent="0.35">
      <c r="A284" s="5">
        <v>2015</v>
      </c>
      <c r="B284" s="5">
        <v>32</v>
      </c>
      <c r="C284" s="5" t="s">
        <v>25</v>
      </c>
      <c r="D284" s="5" t="s">
        <v>73</v>
      </c>
      <c r="E284" s="5">
        <v>178</v>
      </c>
      <c r="F284" s="5">
        <v>2855986</v>
      </c>
      <c r="G284" s="5">
        <v>43799</v>
      </c>
      <c r="H284" s="5">
        <f t="shared" si="222"/>
        <v>6.2325235487849024</v>
      </c>
      <c r="I284" s="6">
        <v>3.3499999999999899</v>
      </c>
      <c r="J284" s="5">
        <v>6.8000000000000007</v>
      </c>
      <c r="K284">
        <f t="shared" ref="K284" si="271">G284*$V$2/$R$9</f>
        <v>57967.422214440325</v>
      </c>
      <c r="L284" s="10">
        <v>419</v>
      </c>
      <c r="M284" s="8">
        <f t="shared" si="246"/>
        <v>14.670940263712776</v>
      </c>
      <c r="N284">
        <v>0.52508960573476704</v>
      </c>
      <c r="O284">
        <v>0.45479999999999998</v>
      </c>
      <c r="P284" s="14">
        <v>444.43498318604702</v>
      </c>
    </row>
    <row r="285" spans="1:16" x14ac:dyDescent="0.35">
      <c r="A285" s="5">
        <v>2016</v>
      </c>
      <c r="B285" s="5">
        <v>32</v>
      </c>
      <c r="C285" s="5" t="s">
        <v>25</v>
      </c>
      <c r="D285" s="5" t="s">
        <v>73</v>
      </c>
      <c r="E285" s="5">
        <v>228</v>
      </c>
      <c r="F285" s="5">
        <v>2904614</v>
      </c>
      <c r="G285" s="5">
        <v>44715</v>
      </c>
      <c r="H285" s="5">
        <f t="shared" si="222"/>
        <v>7.8495800130413196</v>
      </c>
      <c r="I285" s="6">
        <v>3.5</v>
      </c>
      <c r="J285" s="5">
        <v>5.8000000000000007</v>
      </c>
      <c r="K285">
        <f t="shared" ref="K285" si="272">G285*$V$2/$R$10</f>
        <v>58442.477240247164</v>
      </c>
      <c r="L285" s="10">
        <v>408</v>
      </c>
      <c r="M285" s="8">
        <f t="shared" si="246"/>
        <v>14.04661686544236</v>
      </c>
      <c r="N285">
        <v>0.51384615384615384</v>
      </c>
      <c r="O285">
        <v>0.4577</v>
      </c>
      <c r="P285" s="14">
        <v>459.22550946014002</v>
      </c>
    </row>
    <row r="286" spans="1:16" x14ac:dyDescent="0.35">
      <c r="A286" s="5">
        <v>2017</v>
      </c>
      <c r="B286" s="5">
        <v>32</v>
      </c>
      <c r="C286" s="5" t="s">
        <v>25</v>
      </c>
      <c r="D286" s="5" t="s">
        <v>73</v>
      </c>
      <c r="E286" s="5">
        <v>266</v>
      </c>
      <c r="F286" s="5">
        <v>2954768</v>
      </c>
      <c r="G286" s="5">
        <v>46991</v>
      </c>
      <c r="H286" s="5">
        <f t="shared" si="222"/>
        <v>9.0023988346970043</v>
      </c>
      <c r="I286" s="6">
        <v>3.46999999999999</v>
      </c>
      <c r="J286" s="5">
        <v>5</v>
      </c>
      <c r="K286">
        <f t="shared" ref="K286" si="273">G286*$V$2/$R$11</f>
        <v>60136.095785737598</v>
      </c>
      <c r="L286" s="10">
        <v>412</v>
      </c>
      <c r="M286" s="8">
        <f t="shared" si="246"/>
        <v>13.943565112387843</v>
      </c>
      <c r="N286">
        <v>0.52472089314194581</v>
      </c>
      <c r="O286">
        <v>0.46060000000000001</v>
      </c>
      <c r="P286" s="14">
        <v>456.74473258912502</v>
      </c>
    </row>
    <row r="287" spans="1:16" x14ac:dyDescent="0.35">
      <c r="A287" s="5">
        <v>2018</v>
      </c>
      <c r="B287" s="5">
        <v>32</v>
      </c>
      <c r="C287" s="5" t="s">
        <v>25</v>
      </c>
      <c r="D287" s="5" t="s">
        <v>73</v>
      </c>
      <c r="E287" s="5">
        <v>202</v>
      </c>
      <c r="F287" s="5">
        <v>3011007</v>
      </c>
      <c r="G287" s="5">
        <v>49289</v>
      </c>
      <c r="H287" s="5">
        <f t="shared" si="222"/>
        <v>6.7087190431639643</v>
      </c>
      <c r="I287" s="6">
        <v>3.42</v>
      </c>
      <c r="J287" s="5">
        <v>4.4000000000000004</v>
      </c>
      <c r="K287">
        <f t="shared" ref="K287" si="274">G287*$V$2/$R$12</f>
        <v>61573.023137546945</v>
      </c>
      <c r="L287" s="10">
        <v>372</v>
      </c>
      <c r="M287" s="8">
        <f t="shared" si="246"/>
        <v>12.354670713153441</v>
      </c>
      <c r="N287">
        <v>0.55859969558599698</v>
      </c>
      <c r="O287">
        <v>0.46899999999999997</v>
      </c>
      <c r="P287" s="14">
        <v>446.58597934134701</v>
      </c>
    </row>
    <row r="288" spans="1:16" x14ac:dyDescent="0.35">
      <c r="A288" s="5">
        <v>2008</v>
      </c>
      <c r="B288" s="5">
        <v>33</v>
      </c>
      <c r="C288" s="5" t="s">
        <v>26</v>
      </c>
      <c r="D288" s="5" t="s">
        <v>74</v>
      </c>
      <c r="E288" s="5">
        <v>14</v>
      </c>
      <c r="F288" s="5">
        <v>1315906</v>
      </c>
      <c r="G288" s="5">
        <v>45713</v>
      </c>
      <c r="H288" s="5">
        <f t="shared" si="222"/>
        <v>1.0639057805040786</v>
      </c>
      <c r="I288" s="6">
        <v>4.3899999999999997</v>
      </c>
      <c r="J288" s="5">
        <v>3.7</v>
      </c>
      <c r="K288">
        <f t="shared" ref="K288" si="275">G288*$V$2/$R$2</f>
        <v>66602.25476189371</v>
      </c>
      <c r="L288" s="10">
        <v>94</v>
      </c>
      <c r="M288" s="8">
        <f t="shared" si="246"/>
        <v>7.1433673833845281</v>
      </c>
      <c r="N288">
        <v>0.47486033519553073</v>
      </c>
      <c r="O288">
        <v>0.41899999999999998</v>
      </c>
      <c r="P288" s="14">
        <v>204.41</v>
      </c>
    </row>
    <row r="289" spans="1:16" x14ac:dyDescent="0.35">
      <c r="A289" s="5">
        <v>2009</v>
      </c>
      <c r="B289" s="5">
        <v>33</v>
      </c>
      <c r="C289" s="5" t="s">
        <v>26</v>
      </c>
      <c r="D289" s="5" t="s">
        <v>74</v>
      </c>
      <c r="E289" s="5">
        <v>11</v>
      </c>
      <c r="F289" s="5">
        <v>1316102</v>
      </c>
      <c r="G289" s="5">
        <v>45119</v>
      </c>
      <c r="H289" s="5">
        <f t="shared" si="222"/>
        <v>0.83580148043236779</v>
      </c>
      <c r="I289" s="6">
        <v>4.47</v>
      </c>
      <c r="J289" s="5">
        <v>6.1000000000000005</v>
      </c>
      <c r="K289">
        <f t="shared" ref="K289" si="276">G289*$V$2/$R$3</f>
        <v>65971.529344588576</v>
      </c>
      <c r="L289" s="10">
        <v>126</v>
      </c>
      <c r="M289" s="8">
        <f t="shared" si="246"/>
        <v>9.5737260485889397</v>
      </c>
      <c r="N289">
        <v>0.49397590361445781</v>
      </c>
      <c r="O289">
        <v>0.43099999999999999</v>
      </c>
      <c r="P289" s="14">
        <v>206.18</v>
      </c>
    </row>
    <row r="290" spans="1:16" x14ac:dyDescent="0.35">
      <c r="A290" s="5">
        <v>2010</v>
      </c>
      <c r="B290" s="5">
        <v>33</v>
      </c>
      <c r="C290" s="5" t="s">
        <v>26</v>
      </c>
      <c r="D290" s="5" t="s">
        <v>74</v>
      </c>
      <c r="E290" s="5">
        <v>13</v>
      </c>
      <c r="F290" s="5">
        <v>1317105</v>
      </c>
      <c r="G290" s="5">
        <v>46982</v>
      </c>
      <c r="H290" s="5">
        <f t="shared" si="222"/>
        <v>0.98701318421841833</v>
      </c>
      <c r="I290" s="6">
        <v>4.5</v>
      </c>
      <c r="J290" s="5">
        <v>6.1000000000000005</v>
      </c>
      <c r="K290">
        <f t="shared" ref="K290" si="277">G290*$V$2/$R$4</f>
        <v>67586.934539751252</v>
      </c>
      <c r="L290" s="10">
        <v>116</v>
      </c>
      <c r="M290" s="8">
        <f t="shared" si="246"/>
        <v>8.8071945668720417</v>
      </c>
      <c r="N290">
        <v>0.52040816326530615</v>
      </c>
      <c r="O290">
        <v>0.42499999999999999</v>
      </c>
      <c r="P290" s="14">
        <v>209.67</v>
      </c>
    </row>
    <row r="291" spans="1:16" x14ac:dyDescent="0.35">
      <c r="A291" s="5">
        <v>2011</v>
      </c>
      <c r="B291" s="5">
        <v>33</v>
      </c>
      <c r="C291" s="5" t="s">
        <v>26</v>
      </c>
      <c r="D291" s="5" t="s">
        <v>74</v>
      </c>
      <c r="E291" s="5">
        <v>16</v>
      </c>
      <c r="F291" s="5">
        <v>1321939</v>
      </c>
      <c r="G291" s="5">
        <v>49086</v>
      </c>
      <c r="H291" s="5">
        <f t="shared" si="222"/>
        <v>1.2103432911806067</v>
      </c>
      <c r="I291" s="6">
        <v>4.76</v>
      </c>
      <c r="J291" s="5">
        <v>5.5</v>
      </c>
      <c r="K291">
        <f t="shared" ref="K291" si="278">G291*$V$2/$R$5</f>
        <v>68452.950595494782</v>
      </c>
      <c r="L291" s="10">
        <v>154</v>
      </c>
      <c r="M291" s="8">
        <f t="shared" si="246"/>
        <v>11.649554177613339</v>
      </c>
      <c r="N291">
        <v>0.37878787878787878</v>
      </c>
      <c r="O291">
        <v>0.43469999999999998</v>
      </c>
      <c r="P291" s="14">
        <v>198.10894627867401</v>
      </c>
    </row>
    <row r="292" spans="1:16" x14ac:dyDescent="0.35">
      <c r="A292" s="5">
        <v>2012</v>
      </c>
      <c r="B292" s="5">
        <v>33</v>
      </c>
      <c r="C292" s="5" t="s">
        <v>26</v>
      </c>
      <c r="D292" s="5" t="s">
        <v>74</v>
      </c>
      <c r="E292" s="5">
        <v>15</v>
      </c>
      <c r="F292" s="5">
        <v>1327372</v>
      </c>
      <c r="G292" s="5">
        <v>50715</v>
      </c>
      <c r="H292" s="5">
        <f t="shared" si="222"/>
        <v>1.1300524645690884</v>
      </c>
      <c r="I292" s="6">
        <v>4.6399999999999997</v>
      </c>
      <c r="J292" s="5">
        <v>5.4</v>
      </c>
      <c r="K292">
        <f t="shared" ref="K292" si="279">G292*$V$2/$R$6</f>
        <v>69290.737715271316</v>
      </c>
      <c r="L292" s="10">
        <v>133</v>
      </c>
      <c r="M292" s="8">
        <f t="shared" si="246"/>
        <v>10.01979851917925</v>
      </c>
      <c r="N292">
        <v>0.48514851485148514</v>
      </c>
      <c r="O292">
        <v>0.42980000000000002</v>
      </c>
      <c r="P292" s="14">
        <v>211.16367076632</v>
      </c>
    </row>
    <row r="293" spans="1:16" x14ac:dyDescent="0.35">
      <c r="A293" s="5">
        <v>2013</v>
      </c>
      <c r="B293" s="5">
        <v>33</v>
      </c>
      <c r="C293" s="5" t="s">
        <v>26</v>
      </c>
      <c r="D293" s="5" t="s">
        <v>74</v>
      </c>
      <c r="E293" s="5">
        <v>21</v>
      </c>
      <c r="F293" s="5">
        <v>1331163</v>
      </c>
      <c r="G293" s="5">
        <v>50423</v>
      </c>
      <c r="H293" s="5">
        <f t="shared" si="222"/>
        <v>1.5775678861266427</v>
      </c>
      <c r="I293" s="6">
        <v>4.67</v>
      </c>
      <c r="J293" s="5">
        <v>5.3000000000000007</v>
      </c>
      <c r="K293">
        <f t="shared" ref="K293" si="280">G293*$V$2/$R$7</f>
        <v>67897.253342891607</v>
      </c>
      <c r="L293" s="10">
        <v>157</v>
      </c>
      <c r="M293" s="8">
        <f t="shared" si="246"/>
        <v>11.794198005803947</v>
      </c>
      <c r="N293">
        <v>0.43783783783783786</v>
      </c>
      <c r="O293">
        <v>0.43869999999999998</v>
      </c>
      <c r="P293" s="14">
        <v>214.950047510904</v>
      </c>
    </row>
    <row r="294" spans="1:16" x14ac:dyDescent="0.35">
      <c r="A294" s="5">
        <v>2014</v>
      </c>
      <c r="B294" s="5">
        <v>33</v>
      </c>
      <c r="C294" s="5" t="s">
        <v>26</v>
      </c>
      <c r="D294" s="5" t="s">
        <v>74</v>
      </c>
      <c r="E294" s="5">
        <v>16</v>
      </c>
      <c r="F294" s="5">
        <v>1339344</v>
      </c>
      <c r="G294" s="5">
        <v>51988</v>
      </c>
      <c r="H294" s="5">
        <f t="shared" si="222"/>
        <v>1.1946146770359221</v>
      </c>
      <c r="I294" s="6">
        <v>4.53</v>
      </c>
      <c r="J294" s="5">
        <v>4.3</v>
      </c>
      <c r="K294">
        <f t="shared" ref="K294" si="281">G294*$V$2/$R$8</f>
        <v>68887.13052514194</v>
      </c>
      <c r="L294" s="10">
        <v>297</v>
      </c>
      <c r="M294" s="8">
        <f t="shared" si="246"/>
        <v>22.175034942479304</v>
      </c>
      <c r="N294">
        <v>0.44534412955465585</v>
      </c>
      <c r="O294">
        <v>0.441</v>
      </c>
      <c r="P294" s="14">
        <v>219.214797412438</v>
      </c>
    </row>
    <row r="295" spans="1:16" x14ac:dyDescent="0.35">
      <c r="A295" s="5">
        <v>2015</v>
      </c>
      <c r="B295" s="5">
        <v>33</v>
      </c>
      <c r="C295" s="5" t="s">
        <v>26</v>
      </c>
      <c r="D295" s="5" t="s">
        <v>74</v>
      </c>
      <c r="E295" s="5">
        <v>15</v>
      </c>
      <c r="F295" s="5">
        <v>1343764</v>
      </c>
      <c r="G295" s="5">
        <v>54161</v>
      </c>
      <c r="H295" s="5">
        <f t="shared" si="222"/>
        <v>1.1162674398183015</v>
      </c>
      <c r="I295" s="6">
        <v>4.7</v>
      </c>
      <c r="J295" s="5">
        <v>3.4000000000000004</v>
      </c>
      <c r="K295">
        <f t="shared" ref="K295" si="282">G295*$V$2/$R$9</f>
        <v>71681.398081150299</v>
      </c>
      <c r="L295" s="10">
        <v>380</v>
      </c>
      <c r="M295" s="8">
        <f t="shared" si="246"/>
        <v>28.278775142063637</v>
      </c>
      <c r="N295">
        <v>0.4692982456140351</v>
      </c>
      <c r="O295">
        <v>0.43469999999999998</v>
      </c>
      <c r="P295" s="14">
        <v>217.39228313675201</v>
      </c>
    </row>
    <row r="296" spans="1:16" x14ac:dyDescent="0.35">
      <c r="A296" s="5">
        <v>2016</v>
      </c>
      <c r="B296" s="5">
        <v>33</v>
      </c>
      <c r="C296" s="5" t="s">
        <v>26</v>
      </c>
      <c r="D296" s="5" t="s">
        <v>74</v>
      </c>
      <c r="E296" s="5">
        <v>19</v>
      </c>
      <c r="F296" s="5">
        <v>1351178</v>
      </c>
      <c r="G296" s="5">
        <v>55677</v>
      </c>
      <c r="H296" s="5">
        <f t="shared" si="222"/>
        <v>1.4061803848197647</v>
      </c>
      <c r="I296" s="6">
        <v>4.74</v>
      </c>
      <c r="J296" s="5">
        <v>2.9000000000000004</v>
      </c>
      <c r="K296">
        <f t="shared" ref="K296" si="283">G296*$V$2/$R$10</f>
        <v>72769.804434870661</v>
      </c>
      <c r="L296" s="10">
        <v>437</v>
      </c>
      <c r="M296" s="8">
        <f t="shared" si="246"/>
        <v>32.342148850854585</v>
      </c>
      <c r="N296">
        <v>0.50409836065573765</v>
      </c>
      <c r="O296">
        <v>0.4304</v>
      </c>
      <c r="P296" s="14">
        <v>210.41360684613301</v>
      </c>
    </row>
    <row r="297" spans="1:16" x14ac:dyDescent="0.35">
      <c r="A297" s="5">
        <v>2017</v>
      </c>
      <c r="B297" s="5">
        <v>33</v>
      </c>
      <c r="C297" s="5" t="s">
        <v>26</v>
      </c>
      <c r="D297" s="5" t="s">
        <v>74</v>
      </c>
      <c r="E297" s="5">
        <v>13</v>
      </c>
      <c r="F297" s="5">
        <v>1359076</v>
      </c>
      <c r="G297" s="5">
        <v>57878</v>
      </c>
      <c r="H297" s="5">
        <f t="shared" si="222"/>
        <v>0.95653223219304873</v>
      </c>
      <c r="I297" s="6">
        <v>4.72</v>
      </c>
      <c r="J297" s="5">
        <v>2.8000000000000003</v>
      </c>
      <c r="K297">
        <f t="shared" ref="K297" si="284">G297*$V$2/$R$11</f>
        <v>74068.586578002622</v>
      </c>
      <c r="L297" s="10">
        <v>424</v>
      </c>
      <c r="M297" s="8">
        <f t="shared" si="246"/>
        <v>31.197666649988669</v>
      </c>
      <c r="N297">
        <v>0.49811320754716981</v>
      </c>
      <c r="O297">
        <v>0.43859999999999999</v>
      </c>
      <c r="P297" s="14">
        <v>203.205924450254</v>
      </c>
    </row>
    <row r="298" spans="1:16" x14ac:dyDescent="0.35">
      <c r="A298" s="5">
        <v>2018</v>
      </c>
      <c r="B298" s="5">
        <v>33</v>
      </c>
      <c r="C298" s="5" t="s">
        <v>26</v>
      </c>
      <c r="D298" s="5" t="s">
        <v>74</v>
      </c>
      <c r="E298" s="5">
        <v>21</v>
      </c>
      <c r="F298" s="5">
        <v>1364941</v>
      </c>
      <c r="G298" s="5">
        <v>60335</v>
      </c>
      <c r="H298" s="5">
        <f t="shared" si="222"/>
        <v>1.5385280389408773</v>
      </c>
      <c r="I298" s="6">
        <v>4.67</v>
      </c>
      <c r="J298" s="5">
        <v>2.6</v>
      </c>
      <c r="K298">
        <f t="shared" ref="K298" si="285">G298*$V$2/$R$12</f>
        <v>75371.956237779115</v>
      </c>
      <c r="L298" s="10">
        <v>412</v>
      </c>
      <c r="M298" s="8">
        <f t="shared" si="246"/>
        <v>30.184454859221024</v>
      </c>
      <c r="N298">
        <v>0.4838709677419355</v>
      </c>
      <c r="O298">
        <v>0.45300000000000001</v>
      </c>
      <c r="P298" s="14">
        <v>200.60624060809701</v>
      </c>
    </row>
    <row r="299" spans="1:16" x14ac:dyDescent="0.35">
      <c r="A299" s="5">
        <v>2008</v>
      </c>
      <c r="B299" s="5">
        <v>34</v>
      </c>
      <c r="C299" s="5" t="s">
        <v>27</v>
      </c>
      <c r="D299" s="5" t="s">
        <v>75</v>
      </c>
      <c r="E299" s="5">
        <v>376</v>
      </c>
      <c r="F299" s="5">
        <v>8711090</v>
      </c>
      <c r="G299" s="5">
        <v>51606</v>
      </c>
      <c r="H299" s="5">
        <f t="shared" si="222"/>
        <v>4.3163369911228102</v>
      </c>
      <c r="I299" s="6">
        <v>2.3499999999999899</v>
      </c>
      <c r="J299" s="5">
        <v>5.4</v>
      </c>
      <c r="K299">
        <f t="shared" ref="K299" si="286">G299*$V$2/$R$2</f>
        <v>75188.15127517964</v>
      </c>
      <c r="L299" s="10">
        <v>331</v>
      </c>
      <c r="M299" s="8">
        <f t="shared" si="246"/>
        <v>3.799754106546942</v>
      </c>
      <c r="N299">
        <v>0.28455284552845528</v>
      </c>
      <c r="O299">
        <v>0.46200000000000002</v>
      </c>
      <c r="P299" s="14">
        <v>299.57</v>
      </c>
    </row>
    <row r="300" spans="1:16" x14ac:dyDescent="0.35">
      <c r="A300" s="5">
        <v>2009</v>
      </c>
      <c r="B300" s="5">
        <v>34</v>
      </c>
      <c r="C300" s="5" t="s">
        <v>27</v>
      </c>
      <c r="D300" s="5" t="s">
        <v>75</v>
      </c>
      <c r="E300" s="5">
        <v>319</v>
      </c>
      <c r="F300" s="5">
        <v>8755602</v>
      </c>
      <c r="G300" s="5">
        <v>49828</v>
      </c>
      <c r="H300" s="5">
        <f t="shared" si="222"/>
        <v>3.6433816886605852</v>
      </c>
      <c r="I300" s="6">
        <v>2.34</v>
      </c>
      <c r="J300" s="5">
        <v>9</v>
      </c>
      <c r="K300">
        <f t="shared" ref="K300" si="287">G300*$V$2/$R$3</f>
        <v>72856.87546670271</v>
      </c>
      <c r="L300" s="10">
        <f>(L299+L301)/2</f>
        <v>352</v>
      </c>
      <c r="M300" s="8">
        <f t="shared" si="246"/>
        <v>4.0202832426599571</v>
      </c>
      <c r="N300">
        <v>0.3105924596050269</v>
      </c>
      <c r="O300">
        <v>0.46500000000000002</v>
      </c>
      <c r="P300" s="14">
        <v>291.49</v>
      </c>
    </row>
    <row r="301" spans="1:16" x14ac:dyDescent="0.35">
      <c r="A301" s="5">
        <v>2010</v>
      </c>
      <c r="B301" s="5">
        <v>34</v>
      </c>
      <c r="C301" s="5" t="s">
        <v>27</v>
      </c>
      <c r="D301" s="5" t="s">
        <v>75</v>
      </c>
      <c r="E301" s="5">
        <v>371</v>
      </c>
      <c r="F301" s="5">
        <v>8809368</v>
      </c>
      <c r="G301" s="5">
        <v>50961</v>
      </c>
      <c r="H301" s="5">
        <f t="shared" ref="H301:H364" si="288">E301/F301*100000</f>
        <v>4.2114258366775008</v>
      </c>
      <c r="I301" s="6">
        <v>2.3499999999999899</v>
      </c>
      <c r="J301" s="5">
        <v>9.7000000000000011</v>
      </c>
      <c r="K301">
        <f t="shared" ref="K301" si="289">G301*$V$2/$R$4</f>
        <v>73311.007855780161</v>
      </c>
      <c r="L301" s="10">
        <v>373</v>
      </c>
      <c r="M301" s="8">
        <f t="shared" si="246"/>
        <v>4.2341289409183496</v>
      </c>
      <c r="N301">
        <v>0.26008344923504867</v>
      </c>
      <c r="O301">
        <v>0.46400000000000002</v>
      </c>
      <c r="P301" s="14">
        <v>284.18</v>
      </c>
    </row>
    <row r="302" spans="1:16" x14ac:dyDescent="0.35">
      <c r="A302" s="5">
        <v>2011</v>
      </c>
      <c r="B302" s="5">
        <v>34</v>
      </c>
      <c r="C302" s="5" t="s">
        <v>27</v>
      </c>
      <c r="D302" s="5" t="s">
        <v>75</v>
      </c>
      <c r="E302" s="5">
        <v>380</v>
      </c>
      <c r="F302" s="5">
        <v>8878245</v>
      </c>
      <c r="G302" s="5">
        <v>52854</v>
      </c>
      <c r="H302" s="5">
        <f t="shared" si="288"/>
        <v>4.2801251823980975</v>
      </c>
      <c r="I302" s="6">
        <v>2.3699999999999899</v>
      </c>
      <c r="J302" s="5">
        <v>9.4</v>
      </c>
      <c r="K302">
        <f t="shared" ref="K302" si="290">G302*$V$2/$R$5</f>
        <v>73707.620314840926</v>
      </c>
      <c r="L302" s="10">
        <v>454</v>
      </c>
      <c r="M302" s="8">
        <f t="shared" si="246"/>
        <v>5.1136232442335166</v>
      </c>
      <c r="N302">
        <v>0.26269956458635702</v>
      </c>
      <c r="O302">
        <v>0.46939999999999998</v>
      </c>
      <c r="P302" s="14">
        <v>269.25940783943201</v>
      </c>
    </row>
    <row r="303" spans="1:16" x14ac:dyDescent="0.35">
      <c r="A303" s="5">
        <v>2012</v>
      </c>
      <c r="B303" s="5">
        <v>34</v>
      </c>
      <c r="C303" s="5" t="s">
        <v>27</v>
      </c>
      <c r="D303" s="5" t="s">
        <v>75</v>
      </c>
      <c r="E303" s="5">
        <v>388</v>
      </c>
      <c r="F303" s="5">
        <v>8935248</v>
      </c>
      <c r="G303" s="5">
        <v>54235</v>
      </c>
      <c r="H303" s="5">
        <f t="shared" si="288"/>
        <v>4.3423528927232908</v>
      </c>
      <c r="I303" s="6">
        <v>2.4</v>
      </c>
      <c r="J303" s="5">
        <v>9.4</v>
      </c>
      <c r="K303">
        <f t="shared" ref="K303" si="291">G303*$V$2/$R$6</f>
        <v>74100.032731691608</v>
      </c>
      <c r="L303" s="10">
        <v>602</v>
      </c>
      <c r="M303" s="8">
        <f t="shared" si="246"/>
        <v>6.7373619624211889</v>
      </c>
      <c r="N303">
        <v>0.23426061493411421</v>
      </c>
      <c r="O303">
        <v>0.4718</v>
      </c>
      <c r="P303" s="14">
        <v>261.34269493436301</v>
      </c>
    </row>
    <row r="304" spans="1:16" x14ac:dyDescent="0.35">
      <c r="A304" s="5">
        <v>2013</v>
      </c>
      <c r="B304" s="5">
        <v>34</v>
      </c>
      <c r="C304" s="5" t="s">
        <v>27</v>
      </c>
      <c r="D304" s="5" t="s">
        <v>75</v>
      </c>
      <c r="E304" s="5">
        <v>404</v>
      </c>
      <c r="F304" s="5">
        <v>8987175</v>
      </c>
      <c r="G304" s="5">
        <v>54365</v>
      </c>
      <c r="H304" s="5">
        <f t="shared" si="288"/>
        <v>4.4952946838133228</v>
      </c>
      <c r="I304" s="6">
        <v>2.3699999999999899</v>
      </c>
      <c r="J304" s="5">
        <v>8.4</v>
      </c>
      <c r="K304">
        <f t="shared" ref="K304" si="292">G304*$V$2/$R$7</f>
        <v>73205.366161995567</v>
      </c>
      <c r="L304" s="10">
        <v>675</v>
      </c>
      <c r="M304" s="8">
        <f t="shared" si="246"/>
        <v>7.5107027514207747</v>
      </c>
      <c r="N304">
        <v>0.2562747688243065</v>
      </c>
      <c r="O304">
        <v>0.48</v>
      </c>
      <c r="P304" s="14">
        <v>251.503706968833</v>
      </c>
    </row>
    <row r="305" spans="1:16" x14ac:dyDescent="0.35">
      <c r="A305" s="5">
        <v>2014</v>
      </c>
      <c r="B305" s="5">
        <v>34</v>
      </c>
      <c r="C305" s="5" t="s">
        <v>27</v>
      </c>
      <c r="D305" s="5" t="s">
        <v>75</v>
      </c>
      <c r="E305" s="5">
        <v>352</v>
      </c>
      <c r="F305" s="5">
        <v>9036406</v>
      </c>
      <c r="G305" s="5">
        <v>56367</v>
      </c>
      <c r="H305" s="5">
        <f t="shared" si="288"/>
        <v>3.895353971479369</v>
      </c>
      <c r="I305" s="6">
        <v>2.3899999999999899</v>
      </c>
      <c r="J305" s="5">
        <v>6.7</v>
      </c>
      <c r="K305">
        <f t="shared" ref="K305" si="293">G305*$V$2/$R$8</f>
        <v>74689.560789233583</v>
      </c>
      <c r="L305" s="10">
        <v>728</v>
      </c>
      <c r="M305" s="8">
        <f t="shared" si="246"/>
        <v>8.056300259195968</v>
      </c>
      <c r="N305">
        <v>0.24681933842239187</v>
      </c>
      <c r="O305">
        <v>0.47570000000000001</v>
      </c>
      <c r="P305" s="14">
        <v>241.175048625984</v>
      </c>
    </row>
    <row r="306" spans="1:16" x14ac:dyDescent="0.35">
      <c r="A306" s="5">
        <v>2015</v>
      </c>
      <c r="B306" s="5">
        <v>34</v>
      </c>
      <c r="C306" s="5" t="s">
        <v>27</v>
      </c>
      <c r="D306" s="5" t="s">
        <v>75</v>
      </c>
      <c r="E306" s="5">
        <v>363</v>
      </c>
      <c r="F306" s="5">
        <v>9079218</v>
      </c>
      <c r="G306" s="5">
        <v>58408</v>
      </c>
      <c r="H306" s="5">
        <f t="shared" si="288"/>
        <v>3.9981416901764009</v>
      </c>
      <c r="I306" s="6">
        <v>2.3699999999999899</v>
      </c>
      <c r="J306" s="5">
        <v>5.7</v>
      </c>
      <c r="K306">
        <f t="shared" ref="K306" si="294">G306*$V$2/$R$9</f>
        <v>77302.248834471786</v>
      </c>
      <c r="L306" s="10">
        <v>862</v>
      </c>
      <c r="M306" s="8">
        <f t="shared" si="246"/>
        <v>9.4942097436144834</v>
      </c>
      <c r="N306">
        <v>0.23954372623574144</v>
      </c>
      <c r="O306">
        <v>0.48320000000000002</v>
      </c>
      <c r="P306" s="14">
        <v>229.14322978439199</v>
      </c>
    </row>
    <row r="307" spans="1:16" x14ac:dyDescent="0.35">
      <c r="A307" s="5">
        <v>2016</v>
      </c>
      <c r="B307" s="5">
        <v>34</v>
      </c>
      <c r="C307" s="5" t="s">
        <v>27</v>
      </c>
      <c r="D307" s="5" t="s">
        <v>75</v>
      </c>
      <c r="E307" s="5">
        <v>378</v>
      </c>
      <c r="F307" s="5">
        <v>9122374</v>
      </c>
      <c r="G307" s="5">
        <v>59776</v>
      </c>
      <c r="H307" s="5">
        <f t="shared" si="288"/>
        <v>4.1436582187926083</v>
      </c>
      <c r="I307" s="6">
        <v>2.36</v>
      </c>
      <c r="J307" s="5">
        <v>4.9000000000000004</v>
      </c>
      <c r="K307">
        <f t="shared" ref="K307" si="295">G307*$V$2/$R$10</f>
        <v>78127.19489014904</v>
      </c>
      <c r="L307" s="10">
        <v>1409</v>
      </c>
      <c r="M307" s="8">
        <f t="shared" si="246"/>
        <v>15.445540820843346</v>
      </c>
      <c r="N307">
        <v>0.25618631732168851</v>
      </c>
      <c r="O307">
        <v>0.48130000000000001</v>
      </c>
      <c r="P307" s="14">
        <v>219.970732085854</v>
      </c>
    </row>
    <row r="308" spans="1:16" x14ac:dyDescent="0.35">
      <c r="A308" s="5">
        <v>2017</v>
      </c>
      <c r="B308" s="5">
        <v>34</v>
      </c>
      <c r="C308" s="5" t="s">
        <v>27</v>
      </c>
      <c r="D308" s="5" t="s">
        <v>75</v>
      </c>
      <c r="E308" s="5">
        <v>324</v>
      </c>
      <c r="F308" s="5">
        <v>9176713</v>
      </c>
      <c r="G308" s="5">
        <v>61704</v>
      </c>
      <c r="H308" s="5">
        <f t="shared" si="288"/>
        <v>3.5306759620792323</v>
      </c>
      <c r="I308" s="6">
        <v>2.36</v>
      </c>
      <c r="J308" s="5">
        <v>4.5</v>
      </c>
      <c r="K308">
        <f t="shared" ref="K308" si="296">G308*$V$2/$R$11</f>
        <v>78964.858257180167</v>
      </c>
      <c r="L308" s="10">
        <v>1969</v>
      </c>
      <c r="M308" s="8">
        <f t="shared" si="246"/>
        <v>21.456484473253113</v>
      </c>
      <c r="N308">
        <v>0.25660377358490566</v>
      </c>
      <c r="O308">
        <v>0.47939999999999999</v>
      </c>
      <c r="P308" s="14">
        <v>220.04732843330601</v>
      </c>
    </row>
    <row r="309" spans="1:16" x14ac:dyDescent="0.35">
      <c r="A309" s="5">
        <v>2018</v>
      </c>
      <c r="B309" s="5">
        <v>34</v>
      </c>
      <c r="C309" s="5" t="s">
        <v>27</v>
      </c>
      <c r="D309" s="5" t="s">
        <v>75</v>
      </c>
      <c r="E309" s="5">
        <v>285</v>
      </c>
      <c r="F309" s="5">
        <v>9220072</v>
      </c>
      <c r="G309" s="5">
        <v>64198</v>
      </c>
      <c r="H309" s="5">
        <f t="shared" si="288"/>
        <v>3.0910821520699621</v>
      </c>
      <c r="I309" s="6">
        <v>2.36</v>
      </c>
      <c r="J309" s="5">
        <v>4</v>
      </c>
      <c r="K309">
        <f t="shared" ref="K309" si="297">G309*$V$2/$R$12</f>
        <v>80197.710227114352</v>
      </c>
      <c r="L309" s="10">
        <v>2583</v>
      </c>
      <c r="M309" s="8">
        <f t="shared" si="246"/>
        <v>28.014965609813025</v>
      </c>
      <c r="N309">
        <v>0.24807197943444731</v>
      </c>
      <c r="O309">
        <v>0.48359999999999997</v>
      </c>
      <c r="P309" s="14">
        <v>217.88564053505601</v>
      </c>
    </row>
    <row r="310" spans="1:16" x14ac:dyDescent="0.35">
      <c r="A310" s="5">
        <v>2008</v>
      </c>
      <c r="B310" s="5">
        <v>35</v>
      </c>
      <c r="C310" s="5" t="s">
        <v>28</v>
      </c>
      <c r="D310" s="5" t="s">
        <v>76</v>
      </c>
      <c r="E310" s="5">
        <v>161</v>
      </c>
      <c r="F310" s="5">
        <v>2010662</v>
      </c>
      <c r="G310" s="5">
        <v>33552</v>
      </c>
      <c r="H310" s="5">
        <f t="shared" si="288"/>
        <v>8.0073130143206566</v>
      </c>
      <c r="I310" s="6">
        <v>2.4299999999999899</v>
      </c>
      <c r="J310" s="5">
        <v>4.3</v>
      </c>
      <c r="K310">
        <f t="shared" ref="K310" si="298">G310*$V$2/$R$2</f>
        <v>48884.0997477973</v>
      </c>
      <c r="L310" s="10">
        <v>324</v>
      </c>
      <c r="M310" s="8">
        <f t="shared" si="246"/>
        <v>16.114095755527284</v>
      </c>
      <c r="N310">
        <v>0.46539379474940334</v>
      </c>
      <c r="O310">
        <v>0.46</v>
      </c>
      <c r="P310" s="14">
        <v>317.85000000000002</v>
      </c>
    </row>
    <row r="311" spans="1:16" x14ac:dyDescent="0.35">
      <c r="A311" s="5">
        <v>2009</v>
      </c>
      <c r="B311" s="5">
        <v>35</v>
      </c>
      <c r="C311" s="5" t="s">
        <v>28</v>
      </c>
      <c r="D311" s="5" t="s">
        <v>76</v>
      </c>
      <c r="E311" s="5">
        <v>198</v>
      </c>
      <c r="F311" s="5">
        <v>2036802</v>
      </c>
      <c r="G311" s="5">
        <v>32901</v>
      </c>
      <c r="H311" s="5">
        <f t="shared" si="288"/>
        <v>9.7211216406896686</v>
      </c>
      <c r="I311" s="6">
        <v>2.38</v>
      </c>
      <c r="J311" s="5">
        <v>7.1000000000000005</v>
      </c>
      <c r="K311">
        <f t="shared" ref="K311" si="299">G311*$V$2/$R$3</f>
        <v>48106.768478164609</v>
      </c>
      <c r="L311" s="10">
        <v>200</v>
      </c>
      <c r="M311" s="8">
        <f t="shared" si="246"/>
        <v>9.8193147885754239</v>
      </c>
      <c r="N311">
        <v>0.51063829787234039</v>
      </c>
      <c r="O311">
        <v>0.45300000000000001</v>
      </c>
      <c r="P311" s="14">
        <v>314.48</v>
      </c>
    </row>
    <row r="312" spans="1:16" x14ac:dyDescent="0.35">
      <c r="A312" s="5">
        <v>2010</v>
      </c>
      <c r="B312" s="5">
        <v>35</v>
      </c>
      <c r="C312" s="5" t="s">
        <v>28</v>
      </c>
      <c r="D312" s="5" t="s">
        <v>76</v>
      </c>
      <c r="E312" s="5">
        <v>140</v>
      </c>
      <c r="F312" s="5">
        <v>2064898</v>
      </c>
      <c r="G312" s="5">
        <v>33658</v>
      </c>
      <c r="H312" s="5">
        <f t="shared" si="288"/>
        <v>6.7799959126310361</v>
      </c>
      <c r="I312" s="6">
        <v>2.2799999999999998</v>
      </c>
      <c r="J312" s="5">
        <v>7.8000000000000007</v>
      </c>
      <c r="K312">
        <f t="shared" ref="K312" si="300">G312*$V$2/$R$4</f>
        <v>48419.416856220429</v>
      </c>
      <c r="L312" s="10">
        <v>191</v>
      </c>
      <c r="M312" s="8">
        <f t="shared" si="246"/>
        <v>9.2498515665180552</v>
      </c>
      <c r="N312">
        <v>0.49394673123486682</v>
      </c>
      <c r="O312">
        <v>0.46400000000000002</v>
      </c>
      <c r="P312" s="14">
        <v>320.14999999999998</v>
      </c>
    </row>
    <row r="313" spans="1:16" x14ac:dyDescent="0.35">
      <c r="A313" s="5">
        <v>2011</v>
      </c>
      <c r="B313" s="5">
        <v>35</v>
      </c>
      <c r="C313" s="5" t="s">
        <v>28</v>
      </c>
      <c r="D313" s="5" t="s">
        <v>76</v>
      </c>
      <c r="E313" s="5">
        <v>158</v>
      </c>
      <c r="F313" s="5">
        <v>2082130</v>
      </c>
      <c r="G313" s="5">
        <v>35069</v>
      </c>
      <c r="H313" s="5">
        <f t="shared" si="288"/>
        <v>7.5883830500497087</v>
      </c>
      <c r="I313" s="6">
        <v>2.3499999999999899</v>
      </c>
      <c r="J313" s="5">
        <v>7.2</v>
      </c>
      <c r="K313">
        <f t="shared" ref="K313" si="301">G313*$V$2/$R$5</f>
        <v>48905.523457470699</v>
      </c>
      <c r="L313" s="10">
        <v>243</v>
      </c>
      <c r="M313" s="8">
        <f t="shared" si="246"/>
        <v>11.67074102001316</v>
      </c>
      <c r="N313">
        <v>0.52619047619047621</v>
      </c>
      <c r="O313">
        <v>0.48209999999999997</v>
      </c>
      <c r="P313" s="14">
        <v>329.13721396751703</v>
      </c>
    </row>
    <row r="314" spans="1:16" x14ac:dyDescent="0.35">
      <c r="A314" s="5">
        <v>2012</v>
      </c>
      <c r="B314" s="5">
        <v>35</v>
      </c>
      <c r="C314" s="5" t="s">
        <v>28</v>
      </c>
      <c r="D314" s="5" t="s">
        <v>76</v>
      </c>
      <c r="E314" s="5">
        <v>116</v>
      </c>
      <c r="F314" s="5">
        <v>2090282</v>
      </c>
      <c r="G314" s="5">
        <v>35694</v>
      </c>
      <c r="H314" s="5">
        <f t="shared" si="288"/>
        <v>5.5494904515275927</v>
      </c>
      <c r="I314" s="6">
        <v>2.36</v>
      </c>
      <c r="J314" s="5">
        <v>7</v>
      </c>
      <c r="K314">
        <f t="shared" ref="K314" si="302">G314*$V$2/$R$6</f>
        <v>48767.890998893708</v>
      </c>
      <c r="L314" s="10">
        <v>319</v>
      </c>
      <c r="M314" s="8">
        <f t="shared" si="246"/>
        <v>15.261098741700879</v>
      </c>
      <c r="N314">
        <v>0.52036199095022628</v>
      </c>
      <c r="O314">
        <v>0.4713</v>
      </c>
      <c r="P314" s="14">
        <v>314.798649056969</v>
      </c>
    </row>
    <row r="315" spans="1:16" x14ac:dyDescent="0.35">
      <c r="A315" s="5">
        <v>2013</v>
      </c>
      <c r="B315" s="5">
        <v>35</v>
      </c>
      <c r="C315" s="5" t="s">
        <v>28</v>
      </c>
      <c r="D315" s="5" t="s">
        <v>76</v>
      </c>
      <c r="E315" s="5">
        <v>123</v>
      </c>
      <c r="F315" s="5">
        <v>2096538</v>
      </c>
      <c r="G315" s="5">
        <v>34857</v>
      </c>
      <c r="H315" s="5">
        <f t="shared" si="288"/>
        <v>5.8668147202674126</v>
      </c>
      <c r="I315" s="6">
        <v>2.34</v>
      </c>
      <c r="J315" s="5">
        <v>6.9</v>
      </c>
      <c r="K315">
        <f t="shared" ref="K315" si="303">G315*$V$2/$R$7</f>
        <v>46936.805818241141</v>
      </c>
      <c r="L315" s="10">
        <v>322</v>
      </c>
      <c r="M315" s="8">
        <f t="shared" si="246"/>
        <v>15.35865317013095</v>
      </c>
      <c r="N315">
        <v>0.51508120649651967</v>
      </c>
      <c r="O315">
        <v>0.47589999999999999</v>
      </c>
      <c r="P315" s="14">
        <v>320.42666053318197</v>
      </c>
    </row>
    <row r="316" spans="1:16" x14ac:dyDescent="0.35">
      <c r="A316" s="5">
        <v>2014</v>
      </c>
      <c r="B316" s="5">
        <v>35</v>
      </c>
      <c r="C316" s="5" t="s">
        <v>28</v>
      </c>
      <c r="D316" s="5" t="s">
        <v>76</v>
      </c>
      <c r="E316" s="5">
        <v>101</v>
      </c>
      <c r="F316" s="5">
        <v>2095081</v>
      </c>
      <c r="G316" s="5">
        <v>36880</v>
      </c>
      <c r="H316" s="5">
        <f t="shared" si="288"/>
        <v>4.8208159970903273</v>
      </c>
      <c r="I316" s="6">
        <v>2.4099999999999899</v>
      </c>
      <c r="J316" s="5">
        <v>6.6000000000000005</v>
      </c>
      <c r="K316">
        <f t="shared" ref="K316" si="304">G316*$V$2/$R$8</f>
        <v>48868.149837794001</v>
      </c>
      <c r="L316" s="10">
        <v>402</v>
      </c>
      <c r="M316" s="8">
        <f t="shared" si="246"/>
        <v>19.18780228544863</v>
      </c>
      <c r="N316">
        <v>0.54342984409799555</v>
      </c>
      <c r="O316">
        <v>0.47699999999999998</v>
      </c>
      <c r="P316" s="14">
        <v>328.817130701454</v>
      </c>
    </row>
    <row r="317" spans="1:16" x14ac:dyDescent="0.35">
      <c r="A317" s="5">
        <v>2015</v>
      </c>
      <c r="B317" s="5">
        <v>35</v>
      </c>
      <c r="C317" s="5" t="s">
        <v>28</v>
      </c>
      <c r="D317" s="5" t="s">
        <v>76</v>
      </c>
      <c r="E317" s="5">
        <v>117</v>
      </c>
      <c r="F317" s="5">
        <v>2096056</v>
      </c>
      <c r="G317" s="5">
        <v>37752</v>
      </c>
      <c r="H317" s="5">
        <f t="shared" si="288"/>
        <v>5.5819119336506278</v>
      </c>
      <c r="I317" s="6">
        <v>2.1</v>
      </c>
      <c r="J317" s="5">
        <v>6.6000000000000005</v>
      </c>
      <c r="K317">
        <f t="shared" ref="K317" si="305">G317*$V$2/$R$9</f>
        <v>49964.294240497518</v>
      </c>
      <c r="L317" s="10">
        <v>351</v>
      </c>
      <c r="M317" s="8">
        <f t="shared" si="246"/>
        <v>16.745735800951881</v>
      </c>
      <c r="N317">
        <v>0.55000000000000004</v>
      </c>
      <c r="O317">
        <v>0.47949999999999998</v>
      </c>
      <c r="P317" s="14">
        <v>336.05676735876898</v>
      </c>
    </row>
    <row r="318" spans="1:16" x14ac:dyDescent="0.35">
      <c r="A318" s="5">
        <v>2016</v>
      </c>
      <c r="B318" s="5">
        <v>35</v>
      </c>
      <c r="C318" s="5" t="s">
        <v>28</v>
      </c>
      <c r="D318" s="5" t="s">
        <v>76</v>
      </c>
      <c r="E318" s="5">
        <v>139</v>
      </c>
      <c r="F318" s="5">
        <v>2099682</v>
      </c>
      <c r="G318" s="5">
        <v>38474</v>
      </c>
      <c r="H318" s="5">
        <f t="shared" si="288"/>
        <v>6.6200500837745908</v>
      </c>
      <c r="I318" s="6">
        <v>2.2599999999999998</v>
      </c>
      <c r="J318" s="5">
        <v>6.7</v>
      </c>
      <c r="K318">
        <f t="shared" ref="K318" si="306">G318*$V$2/$R$10</f>
        <v>50285.494114754991</v>
      </c>
      <c r="L318" s="10">
        <v>349</v>
      </c>
      <c r="M318" s="8">
        <f t="shared" si="246"/>
        <v>16.621564598829728</v>
      </c>
      <c r="N318">
        <v>0.51592356687898089</v>
      </c>
      <c r="O318">
        <v>0.47689999999999999</v>
      </c>
      <c r="P318" s="14">
        <v>333.98530407177498</v>
      </c>
    </row>
    <row r="319" spans="1:16" x14ac:dyDescent="0.35">
      <c r="A319" s="5">
        <v>2017</v>
      </c>
      <c r="B319" s="5">
        <v>35</v>
      </c>
      <c r="C319" s="5" t="s">
        <v>28</v>
      </c>
      <c r="D319" s="5" t="s">
        <v>76</v>
      </c>
      <c r="E319" s="5">
        <v>144</v>
      </c>
      <c r="F319" s="5">
        <v>2101111</v>
      </c>
      <c r="G319" s="5">
        <v>39196</v>
      </c>
      <c r="H319" s="5">
        <f t="shared" si="288"/>
        <v>6.8535170202811742</v>
      </c>
      <c r="I319" s="6">
        <v>2.16</v>
      </c>
      <c r="J319" s="5">
        <v>6.1000000000000005</v>
      </c>
      <c r="K319">
        <f t="shared" ref="K319" si="307">G319*$V$2/$R$11</f>
        <v>50160.550114229773</v>
      </c>
      <c r="L319" s="10">
        <v>332</v>
      </c>
      <c r="M319" s="8">
        <f t="shared" si="246"/>
        <v>15.80116424120382</v>
      </c>
      <c r="N319">
        <v>0.53156822810590632</v>
      </c>
      <c r="O319">
        <v>0.47760000000000002</v>
      </c>
      <c r="P319" s="14">
        <v>343.15281493662201</v>
      </c>
    </row>
    <row r="320" spans="1:16" x14ac:dyDescent="0.35">
      <c r="A320" s="5">
        <v>2018</v>
      </c>
      <c r="B320" s="5">
        <v>35</v>
      </c>
      <c r="C320" s="5" t="s">
        <v>28</v>
      </c>
      <c r="D320" s="5" t="s">
        <v>76</v>
      </c>
      <c r="E320" s="5">
        <v>153</v>
      </c>
      <c r="F320" s="5">
        <v>2103161</v>
      </c>
      <c r="G320" s="5">
        <v>40976</v>
      </c>
      <c r="H320" s="5">
        <f t="shared" si="288"/>
        <v>7.2747640337568074</v>
      </c>
      <c r="I320" s="6">
        <v>2.2599999999999998</v>
      </c>
      <c r="J320" s="5">
        <v>4.9000000000000004</v>
      </c>
      <c r="K320">
        <f t="shared" ref="K320" si="308">G320*$V$2/$R$12</f>
        <v>51188.220415997966</v>
      </c>
      <c r="L320" s="10">
        <v>338</v>
      </c>
      <c r="M320" s="8">
        <f t="shared" si="246"/>
        <v>16.071047342547718</v>
      </c>
      <c r="N320">
        <v>0.52425373134328357</v>
      </c>
      <c r="O320">
        <v>0.48909999999999998</v>
      </c>
      <c r="P320" s="14">
        <v>331.10149229513701</v>
      </c>
    </row>
    <row r="321" spans="1:16" x14ac:dyDescent="0.35">
      <c r="A321" s="5">
        <v>2008</v>
      </c>
      <c r="B321" s="5">
        <v>36</v>
      </c>
      <c r="C321" s="5" t="s">
        <v>29</v>
      </c>
      <c r="D321" s="5" t="s">
        <v>77</v>
      </c>
      <c r="E321" s="5">
        <v>836</v>
      </c>
      <c r="F321" s="5">
        <v>19212436</v>
      </c>
      <c r="G321" s="5">
        <v>47909</v>
      </c>
      <c r="H321" s="5">
        <f t="shared" si="288"/>
        <v>4.351348262136046</v>
      </c>
      <c r="I321" s="6">
        <v>2.08</v>
      </c>
      <c r="J321" s="5">
        <v>5.4</v>
      </c>
      <c r="K321">
        <f t="shared" ref="K321" si="309">G321*$V$2/$R$2</f>
        <v>69801.750560837521</v>
      </c>
      <c r="L321" s="10">
        <v>1116</v>
      </c>
      <c r="M321" s="8">
        <f t="shared" si="246"/>
        <v>5.8087376322294579</v>
      </c>
      <c r="N321">
        <v>0.30447125621007809</v>
      </c>
      <c r="O321">
        <v>0.503</v>
      </c>
      <c r="P321" s="14">
        <v>307.99</v>
      </c>
    </row>
    <row r="322" spans="1:16" x14ac:dyDescent="0.35">
      <c r="A322" s="5">
        <v>2009</v>
      </c>
      <c r="B322" s="5">
        <v>36</v>
      </c>
      <c r="C322" s="5" t="s">
        <v>29</v>
      </c>
      <c r="D322" s="5" t="s">
        <v>77</v>
      </c>
      <c r="E322" s="5">
        <v>781</v>
      </c>
      <c r="F322" s="5">
        <v>19307066</v>
      </c>
      <c r="G322" s="5">
        <v>46936</v>
      </c>
      <c r="H322" s="5">
        <f t="shared" si="288"/>
        <v>4.0451511379305378</v>
      </c>
      <c r="I322" s="6">
        <v>2.08</v>
      </c>
      <c r="J322" s="5">
        <v>8.4</v>
      </c>
      <c r="K322">
        <f t="shared" ref="K322" si="310">G322*$V$2/$R$3</f>
        <v>68628.287446920585</v>
      </c>
      <c r="L322" s="10">
        <v>1058</v>
      </c>
      <c r="M322" s="8">
        <f t="shared" si="246"/>
        <v>5.4798590319212668</v>
      </c>
      <c r="N322">
        <v>0.29781227946365563</v>
      </c>
      <c r="O322">
        <v>0.502</v>
      </c>
      <c r="P322" s="14">
        <v>299.13</v>
      </c>
    </row>
    <row r="323" spans="1:16" x14ac:dyDescent="0.35">
      <c r="A323" s="5">
        <v>2010</v>
      </c>
      <c r="B323" s="5">
        <v>36</v>
      </c>
      <c r="C323" s="5" t="s">
        <v>29</v>
      </c>
      <c r="D323" s="5" t="s">
        <v>77</v>
      </c>
      <c r="E323" s="5">
        <v>868</v>
      </c>
      <c r="F323" s="5">
        <v>19420354</v>
      </c>
      <c r="G323" s="5">
        <v>48578</v>
      </c>
      <c r="H323" s="5">
        <f t="shared" si="288"/>
        <v>4.4695374759903963</v>
      </c>
      <c r="I323" s="6">
        <v>2.09</v>
      </c>
      <c r="J323" s="5">
        <v>8.7000000000000011</v>
      </c>
      <c r="K323">
        <f t="shared" ref="K323" si="311">G323*$V$2/$R$4</f>
        <v>69882.893577796523</v>
      </c>
      <c r="L323" s="10">
        <v>1074</v>
      </c>
      <c r="M323" s="8">
        <f t="shared" ref="M323:M386" si="312">L323/F323*100000</f>
        <v>5.5302802410295913</v>
      </c>
      <c r="N323">
        <v>0.2967032967032967</v>
      </c>
      <c r="O323">
        <v>0.499</v>
      </c>
      <c r="P323" s="14">
        <v>291.11</v>
      </c>
    </row>
    <row r="324" spans="1:16" x14ac:dyDescent="0.35">
      <c r="A324" s="5">
        <v>2011</v>
      </c>
      <c r="B324" s="5">
        <v>36</v>
      </c>
      <c r="C324" s="5" t="s">
        <v>29</v>
      </c>
      <c r="D324" s="5" t="s">
        <v>77</v>
      </c>
      <c r="E324" s="5">
        <v>769</v>
      </c>
      <c r="F324" s="5">
        <v>19602134</v>
      </c>
      <c r="G324" s="5">
        <v>50772</v>
      </c>
      <c r="H324" s="5">
        <f t="shared" si="288"/>
        <v>3.9230422565216627</v>
      </c>
      <c r="I324" s="6">
        <v>2.11</v>
      </c>
      <c r="J324" s="5">
        <v>8.3000000000000007</v>
      </c>
      <c r="K324">
        <f t="shared" ref="K324" si="313">G324*$V$2/$R$5</f>
        <v>70804.164275648072</v>
      </c>
      <c r="L324" s="10">
        <v>1356</v>
      </c>
      <c r="M324" s="8">
        <f t="shared" si="312"/>
        <v>6.9176141740486008</v>
      </c>
      <c r="N324">
        <v>0.30458383594692401</v>
      </c>
      <c r="O324">
        <v>0.50329999999999997</v>
      </c>
      <c r="P324" s="14">
        <v>282.80569326723099</v>
      </c>
    </row>
    <row r="325" spans="1:16" x14ac:dyDescent="0.35">
      <c r="A325" s="5">
        <v>2012</v>
      </c>
      <c r="B325" s="5">
        <v>36</v>
      </c>
      <c r="C325" s="5" t="s">
        <v>29</v>
      </c>
      <c r="D325" s="5" t="s">
        <v>77</v>
      </c>
      <c r="E325" s="5">
        <v>683</v>
      </c>
      <c r="F325" s="5">
        <v>19758616</v>
      </c>
      <c r="G325" s="5">
        <v>52625</v>
      </c>
      <c r="H325" s="5">
        <f t="shared" si="288"/>
        <v>3.4567198431307133</v>
      </c>
      <c r="I325" s="6">
        <v>2.17</v>
      </c>
      <c r="J325" s="5">
        <v>8.6</v>
      </c>
      <c r="K325">
        <f t="shared" ref="K325" si="314">G325*$V$2/$R$6</f>
        <v>71900.326772476648</v>
      </c>
      <c r="L325" s="10">
        <v>1530</v>
      </c>
      <c r="M325" s="8">
        <f t="shared" si="312"/>
        <v>7.7434573352708505</v>
      </c>
      <c r="N325">
        <v>0.30210772833723654</v>
      </c>
      <c r="O325">
        <v>0.50090000000000001</v>
      </c>
      <c r="P325" s="14">
        <v>275.57686116563798</v>
      </c>
    </row>
    <row r="326" spans="1:16" x14ac:dyDescent="0.35">
      <c r="A326" s="5">
        <v>2013</v>
      </c>
      <c r="B326" s="5">
        <v>36</v>
      </c>
      <c r="C326" s="5" t="s">
        <v>29</v>
      </c>
      <c r="D326" s="5" t="s">
        <v>77</v>
      </c>
      <c r="E326" s="5">
        <v>644</v>
      </c>
      <c r="F326" s="5">
        <v>19892558</v>
      </c>
      <c r="G326" s="5">
        <v>52874</v>
      </c>
      <c r="H326" s="5">
        <f t="shared" si="288"/>
        <v>3.2373915913679876</v>
      </c>
      <c r="I326" s="6">
        <v>2.21</v>
      </c>
      <c r="J326" s="5">
        <v>7.8000000000000007</v>
      </c>
      <c r="K326">
        <f t="shared" ref="K326" si="315">G326*$V$2/$R$7</f>
        <v>71197.655301192935</v>
      </c>
      <c r="L326" s="10">
        <v>1681</v>
      </c>
      <c r="M326" s="8">
        <f t="shared" si="312"/>
        <v>8.4503963743627146</v>
      </c>
      <c r="N326">
        <v>0.27563722584469474</v>
      </c>
      <c r="O326">
        <v>0.50980000000000003</v>
      </c>
      <c r="P326" s="14">
        <v>270.84992623714402</v>
      </c>
    </row>
    <row r="327" spans="1:16" x14ac:dyDescent="0.35">
      <c r="A327" s="5">
        <v>2014</v>
      </c>
      <c r="B327" s="5">
        <v>36</v>
      </c>
      <c r="C327" s="5" t="s">
        <v>29</v>
      </c>
      <c r="D327" s="5" t="s">
        <v>77</v>
      </c>
      <c r="E327" s="5">
        <v>616</v>
      </c>
      <c r="F327" s="5">
        <v>20001317</v>
      </c>
      <c r="G327" s="5">
        <v>54496</v>
      </c>
      <c r="H327" s="5">
        <f t="shared" si="288"/>
        <v>3.0797971953546859</v>
      </c>
      <c r="I327" s="6">
        <v>2.2000000000000002</v>
      </c>
      <c r="J327" s="5">
        <v>6.3000000000000007</v>
      </c>
      <c r="K327">
        <f t="shared" ref="K327" si="316">G327*$V$2/$R$8</f>
        <v>72210.376723438778</v>
      </c>
      <c r="L327" s="10">
        <v>1739</v>
      </c>
      <c r="M327" s="8">
        <f t="shared" si="312"/>
        <v>8.6944274719509718</v>
      </c>
      <c r="N327">
        <v>0.27882352941176469</v>
      </c>
      <c r="O327">
        <v>0.5111</v>
      </c>
      <c r="P327" s="14">
        <v>264.90334736033401</v>
      </c>
    </row>
    <row r="328" spans="1:16" x14ac:dyDescent="0.35">
      <c r="A328" s="5">
        <v>2015</v>
      </c>
      <c r="B328" s="5">
        <v>36</v>
      </c>
      <c r="C328" s="5" t="s">
        <v>29</v>
      </c>
      <c r="D328" s="5" t="s">
        <v>77</v>
      </c>
      <c r="E328" s="5">
        <v>613</v>
      </c>
      <c r="F328" s="5">
        <v>20087023</v>
      </c>
      <c r="G328" s="5">
        <v>56608</v>
      </c>
      <c r="H328" s="5">
        <f t="shared" si="288"/>
        <v>3.0517215019866306</v>
      </c>
      <c r="I328" s="6">
        <v>2.19</v>
      </c>
      <c r="J328" s="5">
        <v>5.2</v>
      </c>
      <c r="K328">
        <f t="shared" ref="K328" si="317">G328*$V$2/$R$9</f>
        <v>74919.971613850488</v>
      </c>
      <c r="L328" s="10">
        <v>2166</v>
      </c>
      <c r="M328" s="8">
        <f t="shared" si="312"/>
        <v>10.783081196252924</v>
      </c>
      <c r="N328">
        <v>0.25484261501210653</v>
      </c>
      <c r="O328">
        <v>0.51380000000000003</v>
      </c>
      <c r="P328" s="14">
        <v>261.30115071546197</v>
      </c>
    </row>
    <row r="329" spans="1:16" x14ac:dyDescent="0.35">
      <c r="A329" s="5">
        <v>2016</v>
      </c>
      <c r="B329" s="5">
        <v>36</v>
      </c>
      <c r="C329" s="5" t="s">
        <v>29</v>
      </c>
      <c r="D329" s="5" t="s">
        <v>77</v>
      </c>
      <c r="E329" s="5">
        <v>629</v>
      </c>
      <c r="F329" s="5">
        <v>20148134</v>
      </c>
      <c r="G329" s="5">
        <v>58400</v>
      </c>
      <c r="H329" s="5">
        <f t="shared" si="288"/>
        <v>3.1218771922005284</v>
      </c>
      <c r="I329" s="6">
        <v>2.23</v>
      </c>
      <c r="J329" s="5">
        <v>4.9000000000000004</v>
      </c>
      <c r="K329">
        <f t="shared" ref="K329" si="318">G329*$V$2/$R$10</f>
        <v>76328.763744390788</v>
      </c>
      <c r="L329" s="10">
        <v>3009</v>
      </c>
      <c r="M329" s="8">
        <f t="shared" si="312"/>
        <v>14.934385487013339</v>
      </c>
      <c r="N329">
        <v>0.29184038117927336</v>
      </c>
      <c r="O329">
        <v>0.51290000000000002</v>
      </c>
      <c r="P329" s="14">
        <v>255.02645710565301</v>
      </c>
    </row>
    <row r="330" spans="1:16" x14ac:dyDescent="0.35">
      <c r="A330" s="5">
        <v>2017</v>
      </c>
      <c r="B330" s="5">
        <v>36</v>
      </c>
      <c r="C330" s="5" t="s">
        <v>29</v>
      </c>
      <c r="D330" s="5" t="s">
        <v>77</v>
      </c>
      <c r="E330" s="5">
        <v>550</v>
      </c>
      <c r="F330" s="5">
        <v>20187407</v>
      </c>
      <c r="G330" s="5">
        <v>62206</v>
      </c>
      <c r="H330" s="5">
        <f t="shared" si="288"/>
        <v>2.7244707554566072</v>
      </c>
      <c r="I330" s="6">
        <v>2.23</v>
      </c>
      <c r="J330" s="5">
        <v>4.6000000000000005</v>
      </c>
      <c r="K330">
        <f t="shared" ref="K330" si="319">G330*$V$2/$R$11</f>
        <v>79607.285957898173</v>
      </c>
      <c r="L330" s="10">
        <v>3224</v>
      </c>
      <c r="M330" s="8">
        <f t="shared" si="312"/>
        <v>15.970352210167459</v>
      </c>
      <c r="N330">
        <v>0.25530660377358488</v>
      </c>
      <c r="O330">
        <v>0.51570000000000005</v>
      </c>
      <c r="P330" s="14">
        <v>252.21833073365201</v>
      </c>
    </row>
    <row r="331" spans="1:16" x14ac:dyDescent="0.35">
      <c r="A331" s="5">
        <v>2018</v>
      </c>
      <c r="B331" s="5">
        <v>36</v>
      </c>
      <c r="C331" s="5" t="s">
        <v>29</v>
      </c>
      <c r="D331" s="5" t="s">
        <v>77</v>
      </c>
      <c r="E331" s="5">
        <v>562</v>
      </c>
      <c r="F331" s="5">
        <v>20219472</v>
      </c>
      <c r="G331" s="5">
        <v>64229</v>
      </c>
      <c r="H331" s="5">
        <f t="shared" si="288"/>
        <v>2.7794988909700513</v>
      </c>
      <c r="I331" s="6">
        <v>2.21</v>
      </c>
      <c r="J331" s="5">
        <v>4.1000000000000005</v>
      </c>
      <c r="K331">
        <f t="shared" ref="K331" si="320">G331*$V$2/$R$12</f>
        <v>80236.436184574719</v>
      </c>
      <c r="L331" s="10">
        <v>2991</v>
      </c>
      <c r="M331" s="8">
        <f t="shared" si="312"/>
        <v>14.792671143934916</v>
      </c>
      <c r="N331">
        <v>0.25827045850261171</v>
      </c>
      <c r="O331">
        <v>0.51300000000000001</v>
      </c>
      <c r="P331" s="14">
        <v>238.83963513124499</v>
      </c>
    </row>
    <row r="332" spans="1:16" x14ac:dyDescent="0.35">
      <c r="A332" s="5">
        <v>2008</v>
      </c>
      <c r="B332" s="5">
        <v>37</v>
      </c>
      <c r="C332" s="5" t="s">
        <v>30</v>
      </c>
      <c r="D332" s="5" t="s">
        <v>78</v>
      </c>
      <c r="E332" s="5">
        <v>599</v>
      </c>
      <c r="F332" s="5">
        <v>9309449</v>
      </c>
      <c r="G332" s="5">
        <v>37772</v>
      </c>
      <c r="H332" s="5">
        <f t="shared" si="288"/>
        <v>6.434322804711643</v>
      </c>
      <c r="I332" s="6">
        <v>2.0299999999999998</v>
      </c>
      <c r="J332" s="5">
        <v>6.2</v>
      </c>
      <c r="K332">
        <f t="shared" ref="K332" si="321">G332*$V$2/$R$2</f>
        <v>55032.493314073661</v>
      </c>
      <c r="L332" s="10">
        <v>846</v>
      </c>
      <c r="M332" s="8">
        <f t="shared" si="312"/>
        <v>9.0875410564040902</v>
      </c>
      <c r="N332">
        <v>0.57573149741824436</v>
      </c>
      <c r="O332">
        <v>0.46300000000000002</v>
      </c>
      <c r="P332" s="14">
        <v>370.16</v>
      </c>
    </row>
    <row r="333" spans="1:16" x14ac:dyDescent="0.35">
      <c r="A333" s="5">
        <v>2009</v>
      </c>
      <c r="B333" s="5">
        <v>37</v>
      </c>
      <c r="C333" s="5" t="s">
        <v>30</v>
      </c>
      <c r="D333" s="5" t="s">
        <v>78</v>
      </c>
      <c r="E333" s="5">
        <v>489</v>
      </c>
      <c r="F333" s="5">
        <v>9449566</v>
      </c>
      <c r="G333" s="5">
        <v>35921</v>
      </c>
      <c r="H333" s="5">
        <f t="shared" si="288"/>
        <v>5.1748408339599932</v>
      </c>
      <c r="I333" s="6">
        <v>2.0099999999999998</v>
      </c>
      <c r="J333" s="5">
        <v>11</v>
      </c>
      <c r="K333">
        <f t="shared" ref="K333" si="322">G333*$V$2/$R$3</f>
        <v>52522.513920675687</v>
      </c>
      <c r="L333" s="10">
        <v>857</v>
      </c>
      <c r="M333" s="8">
        <f t="shared" si="312"/>
        <v>9.0691995801711958</v>
      </c>
      <c r="N333">
        <v>0.57751277683134583</v>
      </c>
      <c r="O333">
        <v>0.46400000000000002</v>
      </c>
      <c r="P333" s="14">
        <v>371.64</v>
      </c>
    </row>
    <row r="334" spans="1:16" x14ac:dyDescent="0.35">
      <c r="A334" s="5">
        <v>2010</v>
      </c>
      <c r="B334" s="5">
        <v>37</v>
      </c>
      <c r="C334" s="5" t="s">
        <v>30</v>
      </c>
      <c r="D334" s="5" t="s">
        <v>78</v>
      </c>
      <c r="E334" s="5">
        <v>474</v>
      </c>
      <c r="F334" s="5">
        <v>9571037</v>
      </c>
      <c r="G334" s="5">
        <v>35848</v>
      </c>
      <c r="H334" s="5">
        <f t="shared" si="288"/>
        <v>4.9524414125658485</v>
      </c>
      <c r="I334" s="7">
        <v>2</v>
      </c>
      <c r="J334" s="5">
        <v>10.700000000000001</v>
      </c>
      <c r="K334">
        <f t="shared" ref="K334" si="323">G334*$V$2/$R$4</f>
        <v>51569.886964816375</v>
      </c>
      <c r="L334" s="10">
        <v>776</v>
      </c>
      <c r="M334" s="8">
        <f t="shared" si="312"/>
        <v>8.1077943800656094</v>
      </c>
      <c r="N334">
        <v>0.60221465076660985</v>
      </c>
      <c r="O334">
        <v>0.46400000000000002</v>
      </c>
      <c r="P334" s="14">
        <v>370.66</v>
      </c>
    </row>
    <row r="335" spans="1:16" x14ac:dyDescent="0.35">
      <c r="A335" s="5">
        <v>2011</v>
      </c>
      <c r="B335" s="5">
        <v>37</v>
      </c>
      <c r="C335" s="5" t="s">
        <v>30</v>
      </c>
      <c r="D335" s="5" t="s">
        <v>78</v>
      </c>
      <c r="E335" s="5">
        <v>498</v>
      </c>
      <c r="F335" s="5">
        <v>9641131</v>
      </c>
      <c r="G335" s="5">
        <v>36822</v>
      </c>
      <c r="H335" s="5">
        <f t="shared" si="288"/>
        <v>5.1653690837724326</v>
      </c>
      <c r="I335" s="6">
        <v>2.0099999999999998</v>
      </c>
      <c r="J335" s="5">
        <v>10.3</v>
      </c>
      <c r="K335">
        <f t="shared" ref="K335" si="324">G335*$V$2/$R$5</f>
        <v>51350.172082208963</v>
      </c>
      <c r="L335" s="10">
        <v>822</v>
      </c>
      <c r="M335" s="8">
        <f t="shared" si="312"/>
        <v>8.525970656347269</v>
      </c>
      <c r="N335">
        <v>0.60016488046166527</v>
      </c>
      <c r="O335">
        <v>0.47160000000000002</v>
      </c>
      <c r="P335" s="14">
        <v>361.74121374472298</v>
      </c>
    </row>
    <row r="336" spans="1:16" x14ac:dyDescent="0.35">
      <c r="A336" s="5">
        <v>2012</v>
      </c>
      <c r="B336" s="5">
        <v>37</v>
      </c>
      <c r="C336" s="5" t="s">
        <v>30</v>
      </c>
      <c r="D336" s="5" t="s">
        <v>78</v>
      </c>
      <c r="E336" s="5">
        <v>479</v>
      </c>
      <c r="F336" s="5">
        <v>9719755</v>
      </c>
      <c r="G336" s="5">
        <v>38876</v>
      </c>
      <c r="H336" s="5">
        <f t="shared" si="288"/>
        <v>4.9281077558024871</v>
      </c>
      <c r="I336" s="6">
        <v>2.04</v>
      </c>
      <c r="J336" s="5">
        <v>9.5</v>
      </c>
      <c r="K336">
        <f t="shared" ref="K336" si="325">G336*$V$2/$R$6</f>
        <v>53115.384391578184</v>
      </c>
      <c r="L336" s="10">
        <v>833</v>
      </c>
      <c r="M336" s="8">
        <f t="shared" si="312"/>
        <v>8.5701748655187302</v>
      </c>
      <c r="N336">
        <v>0.55132192846034211</v>
      </c>
      <c r="O336">
        <v>0.46910000000000002</v>
      </c>
      <c r="P336" s="14">
        <v>357.17585726851303</v>
      </c>
    </row>
    <row r="337" spans="1:16" x14ac:dyDescent="0.35">
      <c r="A337" s="5">
        <v>2013</v>
      </c>
      <c r="B337" s="5">
        <v>37</v>
      </c>
      <c r="C337" s="5" t="s">
        <v>30</v>
      </c>
      <c r="D337" s="5" t="s">
        <v>78</v>
      </c>
      <c r="E337" s="5">
        <v>463</v>
      </c>
      <c r="F337" s="5">
        <v>9800429</v>
      </c>
      <c r="G337" s="5">
        <v>38074</v>
      </c>
      <c r="H337" s="5">
        <f t="shared" si="288"/>
        <v>4.7242829880202182</v>
      </c>
      <c r="I337" s="6">
        <v>2.04</v>
      </c>
      <c r="J337" s="5">
        <v>7.8000000000000007</v>
      </c>
      <c r="K337">
        <f t="shared" ref="K337" si="326">G337*$V$2/$R$7</f>
        <v>51268.667548088284</v>
      </c>
      <c r="L337" s="10">
        <v>834</v>
      </c>
      <c r="M337" s="8">
        <f t="shared" si="312"/>
        <v>8.5098315594143887</v>
      </c>
      <c r="N337">
        <v>0.60046728971962615</v>
      </c>
      <c r="O337">
        <v>0.47649999999999998</v>
      </c>
      <c r="P337" s="14">
        <v>355.40466944820002</v>
      </c>
    </row>
    <row r="338" spans="1:16" x14ac:dyDescent="0.35">
      <c r="A338" s="5">
        <v>2014</v>
      </c>
      <c r="B338" s="5">
        <v>37</v>
      </c>
      <c r="C338" s="5" t="s">
        <v>30</v>
      </c>
      <c r="D338" s="5" t="s">
        <v>78</v>
      </c>
      <c r="E338" s="5">
        <v>498</v>
      </c>
      <c r="F338" s="5">
        <v>9876774</v>
      </c>
      <c r="G338" s="5">
        <v>39880</v>
      </c>
      <c r="H338" s="5">
        <f t="shared" si="288"/>
        <v>5.0421321779763311</v>
      </c>
      <c r="I338" s="6">
        <v>2.0699999999999998</v>
      </c>
      <c r="J338" s="5">
        <v>6.1000000000000005</v>
      </c>
      <c r="K338">
        <f t="shared" ref="K338" si="327">G338*$V$2/$R$8</f>
        <v>52843.324716139497</v>
      </c>
      <c r="L338" s="10">
        <v>967</v>
      </c>
      <c r="M338" s="8">
        <f t="shared" si="312"/>
        <v>9.7906462170745225</v>
      </c>
      <c r="N338">
        <v>0.56213017751479288</v>
      </c>
      <c r="O338">
        <v>0.4748</v>
      </c>
      <c r="P338" s="14">
        <v>357.85182059327201</v>
      </c>
    </row>
    <row r="339" spans="1:16" x14ac:dyDescent="0.35">
      <c r="A339" s="5">
        <v>2015</v>
      </c>
      <c r="B339" s="5">
        <v>37</v>
      </c>
      <c r="C339" s="5" t="s">
        <v>30</v>
      </c>
      <c r="D339" s="5" t="s">
        <v>78</v>
      </c>
      <c r="E339" s="5">
        <v>517</v>
      </c>
      <c r="F339" s="5">
        <v>9962464</v>
      </c>
      <c r="G339" s="5">
        <v>41632</v>
      </c>
      <c r="H339" s="5">
        <f t="shared" si="288"/>
        <v>5.1894792292348555</v>
      </c>
      <c r="I339" s="6">
        <v>2.1</v>
      </c>
      <c r="J339" s="5">
        <v>5.7</v>
      </c>
      <c r="K339">
        <f t="shared" ref="K339" si="328">G339*$V$2/$R$9</f>
        <v>55099.425138281222</v>
      </c>
      <c r="L339" s="10">
        <v>1171</v>
      </c>
      <c r="M339" s="8">
        <f t="shared" si="312"/>
        <v>11.754120265829819</v>
      </c>
      <c r="N339">
        <v>0.55974395448079661</v>
      </c>
      <c r="O339">
        <v>0.47760000000000002</v>
      </c>
      <c r="P339" s="14">
        <v>351.97552866926497</v>
      </c>
    </row>
    <row r="340" spans="1:16" x14ac:dyDescent="0.35">
      <c r="A340" s="5">
        <v>2016</v>
      </c>
      <c r="B340" s="5">
        <v>37</v>
      </c>
      <c r="C340" s="5" t="s">
        <v>30</v>
      </c>
      <c r="D340" s="5" t="s">
        <v>78</v>
      </c>
      <c r="E340" s="5">
        <v>678</v>
      </c>
      <c r="F340" s="5">
        <v>10072775</v>
      </c>
      <c r="G340" s="5">
        <v>42596</v>
      </c>
      <c r="H340" s="5">
        <f t="shared" si="288"/>
        <v>6.7310150380605149</v>
      </c>
      <c r="I340" s="6">
        <v>2.12</v>
      </c>
      <c r="J340" s="5">
        <v>5.1000000000000005</v>
      </c>
      <c r="K340">
        <f t="shared" ref="K340" si="329">G340*$V$2/$R$10</f>
        <v>55672.945555754624</v>
      </c>
      <c r="L340" s="10">
        <v>1506</v>
      </c>
      <c r="M340" s="8">
        <f t="shared" si="312"/>
        <v>14.951192695160966</v>
      </c>
      <c r="N340">
        <v>0.57392571012381643</v>
      </c>
      <c r="O340">
        <v>0.47799999999999998</v>
      </c>
      <c r="P340" s="14">
        <v>338.57914395143098</v>
      </c>
    </row>
    <row r="341" spans="1:16" x14ac:dyDescent="0.35">
      <c r="A341" s="5">
        <v>2017</v>
      </c>
      <c r="B341" s="5">
        <v>37</v>
      </c>
      <c r="C341" s="5" t="s">
        <v>30</v>
      </c>
      <c r="D341" s="5" t="s">
        <v>78</v>
      </c>
      <c r="E341" s="5">
        <v>622</v>
      </c>
      <c r="F341" s="5">
        <v>10172498</v>
      </c>
      <c r="G341" s="5">
        <v>44219</v>
      </c>
      <c r="H341" s="5">
        <f t="shared" si="288"/>
        <v>6.1145256553503371</v>
      </c>
      <c r="I341" s="6">
        <v>2.13</v>
      </c>
      <c r="J341" s="5">
        <v>4.5</v>
      </c>
      <c r="K341">
        <f t="shared" ref="K341" si="330">G341*$V$2/$R$11</f>
        <v>56588.666330776767</v>
      </c>
      <c r="L341" s="10">
        <v>1953</v>
      </c>
      <c r="M341" s="8">
        <f t="shared" si="312"/>
        <v>19.198824123632171</v>
      </c>
      <c r="N341">
        <v>0.55226824457593693</v>
      </c>
      <c r="O341">
        <v>0.4763</v>
      </c>
      <c r="P341" s="14">
        <v>341.59146984632099</v>
      </c>
    </row>
    <row r="342" spans="1:16" x14ac:dyDescent="0.35">
      <c r="A342" s="5">
        <v>2018</v>
      </c>
      <c r="B342" s="5">
        <v>37</v>
      </c>
      <c r="C342" s="5" t="s">
        <v>30</v>
      </c>
      <c r="D342" s="5" t="s">
        <v>78</v>
      </c>
      <c r="E342" s="5">
        <v>574</v>
      </c>
      <c r="F342" s="5">
        <v>10273864</v>
      </c>
      <c r="G342" s="5">
        <v>46048</v>
      </c>
      <c r="H342" s="5">
        <f t="shared" si="288"/>
        <v>5.5869923915675743</v>
      </c>
      <c r="I342" s="6">
        <v>2.17</v>
      </c>
      <c r="J342" s="5">
        <v>4</v>
      </c>
      <c r="K342">
        <f t="shared" ref="K342" si="331">G342*$V$2/$R$12</f>
        <v>57524.286746287442</v>
      </c>
      <c r="L342" s="10">
        <v>1783</v>
      </c>
      <c r="M342" s="8">
        <f t="shared" si="312"/>
        <v>17.354716784259555</v>
      </c>
      <c r="N342">
        <v>0.58433734939759041</v>
      </c>
      <c r="O342">
        <v>0.47820000000000001</v>
      </c>
      <c r="P342" s="14">
        <v>324.63404536675199</v>
      </c>
    </row>
    <row r="343" spans="1:16" x14ac:dyDescent="0.35">
      <c r="A343" s="5">
        <v>2008</v>
      </c>
      <c r="B343" s="5">
        <v>38</v>
      </c>
      <c r="C343" s="5" t="s">
        <v>31</v>
      </c>
      <c r="D343" s="5" t="s">
        <v>79</v>
      </c>
      <c r="E343" s="5">
        <v>11</v>
      </c>
      <c r="F343" s="5">
        <v>657569</v>
      </c>
      <c r="G343" s="5">
        <v>40973</v>
      </c>
      <c r="H343" s="5">
        <f t="shared" si="288"/>
        <v>1.6728282507234982</v>
      </c>
      <c r="I343" s="6">
        <v>2.94</v>
      </c>
      <c r="J343" s="5">
        <v>3.1</v>
      </c>
      <c r="K343">
        <f t="shared" ref="K343" si="332">G343*$V$2/$R$2</f>
        <v>59696.239239583294</v>
      </c>
      <c r="L343" s="10">
        <v>32</v>
      </c>
      <c r="M343" s="8">
        <f t="shared" si="312"/>
        <v>4.8664094566501763</v>
      </c>
      <c r="N343">
        <v>0.63953488372093026</v>
      </c>
      <c r="O343">
        <v>0.45100000000000001</v>
      </c>
      <c r="P343" s="14">
        <v>226.37</v>
      </c>
    </row>
    <row r="344" spans="1:16" x14ac:dyDescent="0.35">
      <c r="A344" s="5">
        <v>2009</v>
      </c>
      <c r="B344" s="5">
        <v>38</v>
      </c>
      <c r="C344" s="5" t="s">
        <v>31</v>
      </c>
      <c r="D344" s="5" t="s">
        <v>79</v>
      </c>
      <c r="E344" s="5">
        <v>12</v>
      </c>
      <c r="F344" s="5">
        <v>664968</v>
      </c>
      <c r="G344" s="5">
        <v>40186</v>
      </c>
      <c r="H344" s="5">
        <f t="shared" si="288"/>
        <v>1.8045981159995668</v>
      </c>
      <c r="I344" s="6">
        <v>2.96</v>
      </c>
      <c r="J344" s="5">
        <v>3.9000000000000004</v>
      </c>
      <c r="K344">
        <f t="shared" ref="K344" si="333">G344*$V$2/$R$3</f>
        <v>58758.65773269879</v>
      </c>
      <c r="L344" s="10">
        <v>17</v>
      </c>
      <c r="M344" s="8">
        <f t="shared" si="312"/>
        <v>2.5565139976660531</v>
      </c>
      <c r="N344">
        <v>0.55555555555555558</v>
      </c>
      <c r="O344">
        <v>0.45</v>
      </c>
      <c r="P344" s="14">
        <v>229.73</v>
      </c>
    </row>
    <row r="345" spans="1:16" x14ac:dyDescent="0.35">
      <c r="A345" s="5">
        <v>2010</v>
      </c>
      <c r="B345" s="5">
        <v>38</v>
      </c>
      <c r="C345" s="5" t="s">
        <v>31</v>
      </c>
      <c r="D345" s="5" t="s">
        <v>79</v>
      </c>
      <c r="E345" s="5">
        <v>10</v>
      </c>
      <c r="F345" s="5">
        <v>675097</v>
      </c>
      <c r="G345" s="5">
        <v>44081</v>
      </c>
      <c r="H345" s="5">
        <f t="shared" si="288"/>
        <v>1.4812686176949388</v>
      </c>
      <c r="I345" s="6">
        <v>2.9299999999999899</v>
      </c>
      <c r="J345" s="5">
        <v>3.7</v>
      </c>
      <c r="K345">
        <f t="shared" ref="K345" si="334">G345*$V$2/$R$4</f>
        <v>63413.640573980992</v>
      </c>
      <c r="L345" s="10">
        <v>18</v>
      </c>
      <c r="M345" s="8">
        <f t="shared" si="312"/>
        <v>2.6662835118508896</v>
      </c>
      <c r="N345">
        <v>0.52830188679245282</v>
      </c>
      <c r="O345">
        <v>0.433</v>
      </c>
      <c r="P345" s="14">
        <v>220.42</v>
      </c>
    </row>
    <row r="346" spans="1:16" x14ac:dyDescent="0.35">
      <c r="A346" s="5">
        <v>2011</v>
      </c>
      <c r="B346" s="5">
        <v>38</v>
      </c>
      <c r="C346" s="5" t="s">
        <v>31</v>
      </c>
      <c r="D346" s="5" t="s">
        <v>79</v>
      </c>
      <c r="E346" s="5">
        <v>24</v>
      </c>
      <c r="F346" s="5">
        <v>687257</v>
      </c>
      <c r="G346" s="5">
        <v>48873</v>
      </c>
      <c r="H346" s="5">
        <f t="shared" si="288"/>
        <v>3.4921434048689211</v>
      </c>
      <c r="I346" s="6">
        <v>3.18</v>
      </c>
      <c r="J346" s="5">
        <v>3.3000000000000003</v>
      </c>
      <c r="K346">
        <f t="shared" ref="K346" si="335">G346*$V$2/$R$5</f>
        <v>68155.911144799262</v>
      </c>
      <c r="L346" s="10">
        <v>10</v>
      </c>
      <c r="M346" s="8">
        <f t="shared" si="312"/>
        <v>1.455059752028717</v>
      </c>
      <c r="N346">
        <v>0.48113207547169812</v>
      </c>
      <c r="O346">
        <v>0.44479999999999997</v>
      </c>
      <c r="P346" s="14">
        <v>205.54464998909401</v>
      </c>
    </row>
    <row r="347" spans="1:16" x14ac:dyDescent="0.35">
      <c r="A347" s="5">
        <v>2012</v>
      </c>
      <c r="B347" s="5">
        <v>38</v>
      </c>
      <c r="C347" s="5" t="s">
        <v>31</v>
      </c>
      <c r="D347" s="5" t="s">
        <v>79</v>
      </c>
      <c r="E347" s="5">
        <v>25</v>
      </c>
      <c r="F347" s="5">
        <v>705347</v>
      </c>
      <c r="G347" s="5">
        <v>56056</v>
      </c>
      <c r="H347" s="5">
        <f t="shared" si="288"/>
        <v>3.5443547643925615</v>
      </c>
      <c r="I347" s="6">
        <v>3.4299999999999899</v>
      </c>
      <c r="J347" s="5">
        <v>2.9000000000000004</v>
      </c>
      <c r="K347">
        <f t="shared" ref="K347" si="336">G347*$V$2/$R$6</f>
        <v>76588.023136493124</v>
      </c>
      <c r="L347" s="10">
        <f>(L346+L348)/2</f>
        <v>10.5</v>
      </c>
      <c r="M347" s="8">
        <f t="shared" si="312"/>
        <v>1.4886290010448757</v>
      </c>
      <c r="N347">
        <v>0.6</v>
      </c>
      <c r="O347">
        <v>0.4597</v>
      </c>
      <c r="P347" s="14">
        <v>213.461636200383</v>
      </c>
    </row>
    <row r="348" spans="1:16" x14ac:dyDescent="0.35">
      <c r="A348" s="5">
        <v>2013</v>
      </c>
      <c r="B348" s="5">
        <v>38</v>
      </c>
      <c r="C348" s="5" t="s">
        <v>31</v>
      </c>
      <c r="D348" s="5" t="s">
        <v>79</v>
      </c>
      <c r="E348" s="5">
        <v>16</v>
      </c>
      <c r="F348" s="5">
        <v>727655</v>
      </c>
      <c r="G348" s="5">
        <v>54337</v>
      </c>
      <c r="H348" s="5">
        <f t="shared" si="288"/>
        <v>2.1988442325002917</v>
      </c>
      <c r="I348" s="6">
        <v>3.3899999999999899</v>
      </c>
      <c r="J348" s="5">
        <v>2.9000000000000004</v>
      </c>
      <c r="K348">
        <f t="shared" ref="K348" si="337">G348*$V$2/$R$7</f>
        <v>73167.662671651851</v>
      </c>
      <c r="L348" s="10">
        <v>11</v>
      </c>
      <c r="M348" s="8">
        <f t="shared" si="312"/>
        <v>1.5117054098439509</v>
      </c>
      <c r="N348">
        <v>0.59375</v>
      </c>
      <c r="O348">
        <v>0.45500000000000002</v>
      </c>
      <c r="P348" s="14">
        <v>205.92495422371599</v>
      </c>
    </row>
    <row r="349" spans="1:16" x14ac:dyDescent="0.35">
      <c r="A349" s="5">
        <v>2014</v>
      </c>
      <c r="B349" s="5">
        <v>38</v>
      </c>
      <c r="C349" s="5" t="s">
        <v>31</v>
      </c>
      <c r="D349" s="5" t="s">
        <v>79</v>
      </c>
      <c r="E349" s="5">
        <v>23</v>
      </c>
      <c r="F349" s="5">
        <v>744628</v>
      </c>
      <c r="G349" s="5">
        <v>56647</v>
      </c>
      <c r="H349" s="5">
        <f t="shared" si="288"/>
        <v>3.0887906444560236</v>
      </c>
      <c r="I349" s="6">
        <v>3.4299999999999899</v>
      </c>
      <c r="J349" s="5">
        <v>2.6</v>
      </c>
      <c r="K349">
        <f t="shared" ref="K349" si="338">G349*$V$2/$R$8</f>
        <v>75060.577111212493</v>
      </c>
      <c r="L349" s="10">
        <v>31</v>
      </c>
      <c r="M349" s="8">
        <f t="shared" si="312"/>
        <v>4.1631526077450758</v>
      </c>
      <c r="N349">
        <v>0.62043795620437958</v>
      </c>
      <c r="O349">
        <v>0.46639999999999998</v>
      </c>
      <c r="P349" s="14">
        <v>214.08443180148799</v>
      </c>
    </row>
    <row r="350" spans="1:16" x14ac:dyDescent="0.35">
      <c r="A350" s="5">
        <v>2015</v>
      </c>
      <c r="B350" s="5">
        <v>38</v>
      </c>
      <c r="C350" s="5" t="s">
        <v>31</v>
      </c>
      <c r="D350" s="5" t="s">
        <v>79</v>
      </c>
      <c r="E350" s="5">
        <v>21</v>
      </c>
      <c r="F350" s="5">
        <v>762814</v>
      </c>
      <c r="G350" s="5">
        <v>52972</v>
      </c>
      <c r="H350" s="5">
        <f t="shared" si="288"/>
        <v>2.7529646807740811</v>
      </c>
      <c r="I350" s="6">
        <v>3.26</v>
      </c>
      <c r="J350" s="5">
        <v>2.8000000000000003</v>
      </c>
      <c r="K350">
        <f t="shared" ref="K350" si="339">G350*$V$2/$R$9</f>
        <v>70107.771628195449</v>
      </c>
      <c r="L350" s="10">
        <v>34</v>
      </c>
      <c r="M350" s="8">
        <f t="shared" si="312"/>
        <v>4.4571809117294645</v>
      </c>
      <c r="N350">
        <v>0.61290322580645162</v>
      </c>
      <c r="O350">
        <v>0.46639999999999998</v>
      </c>
      <c r="P350" s="14">
        <v>235.388860284896</v>
      </c>
    </row>
    <row r="351" spans="1:16" x14ac:dyDescent="0.35">
      <c r="A351" s="5">
        <v>2016</v>
      </c>
      <c r="B351" s="5">
        <v>38</v>
      </c>
      <c r="C351" s="5" t="s">
        <v>31</v>
      </c>
      <c r="D351" s="5" t="s">
        <v>79</v>
      </c>
      <c r="E351" s="5">
        <v>16</v>
      </c>
      <c r="F351" s="5">
        <v>764781</v>
      </c>
      <c r="G351" s="5">
        <v>51298</v>
      </c>
      <c r="H351" s="5">
        <f t="shared" si="288"/>
        <v>2.0921021835008977</v>
      </c>
      <c r="I351" s="6">
        <v>3.14</v>
      </c>
      <c r="J351" s="5">
        <v>3.1</v>
      </c>
      <c r="K351">
        <f t="shared" ref="K351" si="340">G351*$V$2/$R$10</f>
        <v>67046.45415342052</v>
      </c>
      <c r="L351" s="10">
        <v>54</v>
      </c>
      <c r="M351" s="8">
        <f t="shared" si="312"/>
        <v>7.0608448693155301</v>
      </c>
      <c r="N351">
        <v>0.5357142857142857</v>
      </c>
      <c r="O351">
        <v>0.45329999999999998</v>
      </c>
      <c r="P351" s="14">
        <v>235.43299688074401</v>
      </c>
    </row>
    <row r="352" spans="1:16" x14ac:dyDescent="0.35">
      <c r="A352" s="5">
        <v>2017</v>
      </c>
      <c r="B352" s="5">
        <v>38</v>
      </c>
      <c r="C352" s="5" t="s">
        <v>31</v>
      </c>
      <c r="D352" s="5" t="s">
        <v>79</v>
      </c>
      <c r="E352" s="5">
        <v>10</v>
      </c>
      <c r="F352" s="5">
        <v>766807</v>
      </c>
      <c r="G352" s="5">
        <v>51830</v>
      </c>
      <c r="H352" s="5">
        <f t="shared" si="288"/>
        <v>1.3041091174180726</v>
      </c>
      <c r="I352" s="6">
        <v>3.15</v>
      </c>
      <c r="J352" s="5">
        <v>2.6</v>
      </c>
      <c r="K352">
        <f t="shared" ref="K352" si="341">G352*$V$2/$R$11</f>
        <v>66328.740494451704</v>
      </c>
      <c r="L352" s="10">
        <v>35</v>
      </c>
      <c r="M352" s="8">
        <f t="shared" si="312"/>
        <v>4.5643819109632542</v>
      </c>
      <c r="N352">
        <v>0.60389610389610393</v>
      </c>
      <c r="O352">
        <v>0.4546</v>
      </c>
      <c r="P352" s="14">
        <v>225.814966345519</v>
      </c>
    </row>
    <row r="353" spans="1:16" x14ac:dyDescent="0.35">
      <c r="A353" s="5">
        <v>2018</v>
      </c>
      <c r="B353" s="5">
        <v>38</v>
      </c>
      <c r="C353" s="5" t="s">
        <v>31</v>
      </c>
      <c r="D353" s="5" t="s">
        <v>79</v>
      </c>
      <c r="E353" s="5">
        <v>18</v>
      </c>
      <c r="F353" s="5">
        <v>771499</v>
      </c>
      <c r="G353" s="5">
        <v>55173</v>
      </c>
      <c r="H353" s="5">
        <f t="shared" si="288"/>
        <v>2.3331203280885653</v>
      </c>
      <c r="I353" s="6">
        <v>3.16</v>
      </c>
      <c r="J353" s="5">
        <v>2.4000000000000004</v>
      </c>
      <c r="K353">
        <f t="shared" ref="K353" si="342">G353*$V$2/$R$12</f>
        <v>68923.459708411159</v>
      </c>
      <c r="L353" s="10">
        <v>36</v>
      </c>
      <c r="M353" s="8">
        <f t="shared" si="312"/>
        <v>4.6662406561771306</v>
      </c>
      <c r="N353">
        <v>0.51020408163265307</v>
      </c>
      <c r="O353">
        <v>0.44269999999999998</v>
      </c>
      <c r="P353" s="14">
        <v>219.419118140357</v>
      </c>
    </row>
    <row r="354" spans="1:16" x14ac:dyDescent="0.35">
      <c r="A354" s="5">
        <v>2008</v>
      </c>
      <c r="B354" s="5">
        <v>39</v>
      </c>
      <c r="C354" s="5" t="s">
        <v>32</v>
      </c>
      <c r="D354" s="5" t="s">
        <v>80</v>
      </c>
      <c r="E354" s="5">
        <v>547</v>
      </c>
      <c r="F354" s="5">
        <v>11515391</v>
      </c>
      <c r="G354" s="5">
        <v>36654</v>
      </c>
      <c r="H354" s="5">
        <f t="shared" si="288"/>
        <v>4.7501643669763363</v>
      </c>
      <c r="I354" s="6">
        <v>2.0499999999999998</v>
      </c>
      <c r="J354" s="5">
        <v>6.6000000000000005</v>
      </c>
      <c r="K354">
        <f t="shared" ref="K354" si="343">G354*$V$2/$R$2</f>
        <v>53403.606108600441</v>
      </c>
      <c r="L354" s="10">
        <v>814</v>
      </c>
      <c r="M354" s="8">
        <f t="shared" si="312"/>
        <v>7.0688003559757551</v>
      </c>
      <c r="N354">
        <v>0.48441926345609065</v>
      </c>
      <c r="O354">
        <v>0.45</v>
      </c>
      <c r="P354" s="14">
        <v>448.35</v>
      </c>
    </row>
    <row r="355" spans="1:16" x14ac:dyDescent="0.35">
      <c r="A355" s="5">
        <v>2009</v>
      </c>
      <c r="B355" s="5">
        <v>39</v>
      </c>
      <c r="C355" s="5" t="s">
        <v>32</v>
      </c>
      <c r="D355" s="5" t="s">
        <v>80</v>
      </c>
      <c r="E355" s="5">
        <v>527</v>
      </c>
      <c r="F355" s="5">
        <v>11528896</v>
      </c>
      <c r="G355" s="5">
        <v>35593</v>
      </c>
      <c r="H355" s="5">
        <f t="shared" si="288"/>
        <v>4.5711228551285394</v>
      </c>
      <c r="I355" s="6">
        <v>2.0299999999999998</v>
      </c>
      <c r="J355" s="5">
        <v>10.200000000000001</v>
      </c>
      <c r="K355">
        <f t="shared" ref="K355" si="344">G355*$V$2/$R$3</f>
        <v>52042.923024932767</v>
      </c>
      <c r="L355" s="10">
        <v>664</v>
      </c>
      <c r="M355" s="8">
        <f t="shared" si="312"/>
        <v>5.7594413203137576</v>
      </c>
      <c r="N355">
        <v>0.50170068027210879</v>
      </c>
      <c r="O355">
        <v>0.45300000000000001</v>
      </c>
      <c r="P355" s="14">
        <v>447.09</v>
      </c>
    </row>
    <row r="356" spans="1:16" x14ac:dyDescent="0.35">
      <c r="A356" s="5">
        <v>2010</v>
      </c>
      <c r="B356" s="5">
        <v>39</v>
      </c>
      <c r="C356" s="5" t="s">
        <v>32</v>
      </c>
      <c r="D356" s="5" t="s">
        <v>80</v>
      </c>
      <c r="E356" s="5">
        <v>479</v>
      </c>
      <c r="F356" s="5">
        <v>11541932</v>
      </c>
      <c r="G356" s="5">
        <v>36580</v>
      </c>
      <c r="H356" s="5">
        <f t="shared" si="288"/>
        <v>4.1500850984046691</v>
      </c>
      <c r="I356" s="6">
        <v>2.02</v>
      </c>
      <c r="J356" s="5">
        <v>10.3</v>
      </c>
      <c r="K356">
        <f t="shared" ref="K356" si="345">G356*$V$2/$R$4</f>
        <v>52622.920809333387</v>
      </c>
      <c r="L356" s="10">
        <v>1124</v>
      </c>
      <c r="M356" s="8">
        <f t="shared" si="312"/>
        <v>9.7384042810163844</v>
      </c>
      <c r="N356">
        <v>0.50312717164697707</v>
      </c>
      <c r="O356">
        <v>0.45200000000000001</v>
      </c>
      <c r="P356" s="14">
        <v>448.19</v>
      </c>
    </row>
    <row r="357" spans="1:16" x14ac:dyDescent="0.35">
      <c r="A357" s="5">
        <v>2011</v>
      </c>
      <c r="B357" s="5">
        <v>39</v>
      </c>
      <c r="C357" s="5" t="s">
        <v>32</v>
      </c>
      <c r="D357" s="5" t="s">
        <v>80</v>
      </c>
      <c r="E357" s="5">
        <v>500</v>
      </c>
      <c r="F357" s="5">
        <v>11558178</v>
      </c>
      <c r="G357" s="5">
        <v>38927</v>
      </c>
      <c r="H357" s="5">
        <f t="shared" si="288"/>
        <v>4.3259413378129326</v>
      </c>
      <c r="I357" s="6">
        <v>2.02</v>
      </c>
      <c r="J357" s="5">
        <v>8.8000000000000007</v>
      </c>
      <c r="K357">
        <f t="shared" ref="K357" si="346">G357*$V$2/$R$5</f>
        <v>54285.702803871282</v>
      </c>
      <c r="L357" s="10">
        <v>1272</v>
      </c>
      <c r="M357" s="8">
        <f t="shared" si="312"/>
        <v>11.0051947633961</v>
      </c>
      <c r="N357">
        <v>0.49556313993174061</v>
      </c>
      <c r="O357">
        <v>0.45939999999999998</v>
      </c>
      <c r="P357" s="14">
        <v>441.44320502803799</v>
      </c>
    </row>
    <row r="358" spans="1:16" x14ac:dyDescent="0.35">
      <c r="A358" s="5">
        <v>2012</v>
      </c>
      <c r="B358" s="5">
        <v>39</v>
      </c>
      <c r="C358" s="5" t="s">
        <v>32</v>
      </c>
      <c r="D358" s="5" t="s">
        <v>80</v>
      </c>
      <c r="E358" s="5">
        <v>478</v>
      </c>
      <c r="F358" s="5">
        <v>11573400</v>
      </c>
      <c r="G358" s="5">
        <v>40279</v>
      </c>
      <c r="H358" s="5">
        <f t="shared" si="288"/>
        <v>4.1301605405498814</v>
      </c>
      <c r="I358" s="6">
        <v>2.0299999999999998</v>
      </c>
      <c r="J358" s="5">
        <v>7.4</v>
      </c>
      <c r="K358">
        <f t="shared" ref="K358" si="347">G358*$V$2/$R$6</f>
        <v>55032.271013179794</v>
      </c>
      <c r="L358" s="10">
        <v>1355</v>
      </c>
      <c r="M358" s="8">
        <f t="shared" si="312"/>
        <v>11.707881867039937</v>
      </c>
      <c r="N358">
        <v>0.50843060959792474</v>
      </c>
      <c r="O358">
        <v>0.46150000000000002</v>
      </c>
      <c r="P358" s="14">
        <v>440.37919560597197</v>
      </c>
    </row>
    <row r="359" spans="1:16" x14ac:dyDescent="0.35">
      <c r="A359" s="5">
        <v>2013</v>
      </c>
      <c r="B359" s="5">
        <v>39</v>
      </c>
      <c r="C359" s="5" t="s">
        <v>32</v>
      </c>
      <c r="D359" s="5" t="s">
        <v>80</v>
      </c>
      <c r="E359" s="5">
        <v>478</v>
      </c>
      <c r="F359" s="5">
        <v>11612081</v>
      </c>
      <c r="G359" s="5">
        <v>40752</v>
      </c>
      <c r="H359" s="5">
        <f t="shared" si="288"/>
        <v>4.1164025638470836</v>
      </c>
      <c r="I359" s="6">
        <v>2.04</v>
      </c>
      <c r="J359" s="5">
        <v>7.5</v>
      </c>
      <c r="K359">
        <f t="shared" ref="K359" si="348">G359*$V$2/$R$7</f>
        <v>54874.737088818969</v>
      </c>
      <c r="L359" s="10">
        <v>1630</v>
      </c>
      <c r="M359" s="8">
        <f t="shared" si="312"/>
        <v>14.037104977135449</v>
      </c>
      <c r="N359">
        <v>0.52424639580602883</v>
      </c>
      <c r="O359">
        <v>0.4652</v>
      </c>
      <c r="P359" s="14">
        <v>446.486793946202</v>
      </c>
    </row>
    <row r="360" spans="1:16" x14ac:dyDescent="0.35">
      <c r="A360" s="5">
        <v>2014</v>
      </c>
      <c r="B360" s="5">
        <v>39</v>
      </c>
      <c r="C360" s="5" t="s">
        <v>32</v>
      </c>
      <c r="D360" s="5" t="s">
        <v>80</v>
      </c>
      <c r="E360" s="5">
        <v>464</v>
      </c>
      <c r="F360" s="5">
        <v>11648921</v>
      </c>
      <c r="G360" s="5">
        <v>42277</v>
      </c>
      <c r="H360" s="5">
        <f t="shared" si="288"/>
        <v>3.9832015342880251</v>
      </c>
      <c r="I360" s="6">
        <v>2.0299999999999998</v>
      </c>
      <c r="J360" s="5">
        <v>5.8000000000000007</v>
      </c>
      <c r="K360">
        <f t="shared" ref="K360" si="349">G360*$V$2/$R$8</f>
        <v>56019.489443937557</v>
      </c>
      <c r="L360" s="10">
        <v>2106</v>
      </c>
      <c r="M360" s="8">
        <f t="shared" si="312"/>
        <v>18.07892765347108</v>
      </c>
      <c r="N360">
        <v>0.49899396378269617</v>
      </c>
      <c r="O360">
        <v>0.4637</v>
      </c>
      <c r="P360" s="14">
        <v>443.75655483876301</v>
      </c>
    </row>
    <row r="361" spans="1:16" x14ac:dyDescent="0.35">
      <c r="A361" s="5">
        <v>2015</v>
      </c>
      <c r="B361" s="5">
        <v>39</v>
      </c>
      <c r="C361" s="5" t="s">
        <v>32</v>
      </c>
      <c r="D361" s="5" t="s">
        <v>80</v>
      </c>
      <c r="E361" s="5">
        <v>522</v>
      </c>
      <c r="F361" s="5">
        <v>11674622</v>
      </c>
      <c r="G361" s="5">
        <v>43799</v>
      </c>
      <c r="H361" s="5">
        <f t="shared" si="288"/>
        <v>4.4712368417581319</v>
      </c>
      <c r="I361" s="6">
        <v>2.0299999999999998</v>
      </c>
      <c r="J361" s="5">
        <v>5</v>
      </c>
      <c r="K361">
        <f t="shared" ref="K361" si="350">G361*$V$2/$R$9</f>
        <v>57967.422214440325</v>
      </c>
      <c r="L361" s="10">
        <v>2698</v>
      </c>
      <c r="M361" s="8">
        <f t="shared" si="312"/>
        <v>23.109955936903138</v>
      </c>
      <c r="N361">
        <v>0.52181818181818185</v>
      </c>
      <c r="O361">
        <v>0.4637</v>
      </c>
      <c r="P361" s="14">
        <v>449.84045920190903</v>
      </c>
    </row>
    <row r="362" spans="1:16" x14ac:dyDescent="0.35">
      <c r="A362" s="5">
        <v>2016</v>
      </c>
      <c r="B362" s="5">
        <v>39</v>
      </c>
      <c r="C362" s="5" t="s">
        <v>32</v>
      </c>
      <c r="D362" s="5" t="s">
        <v>80</v>
      </c>
      <c r="E362" s="5">
        <v>683</v>
      </c>
      <c r="F362" s="5">
        <v>11702354</v>
      </c>
      <c r="G362" s="5">
        <v>44574</v>
      </c>
      <c r="H362" s="5">
        <f t="shared" si="288"/>
        <v>5.8364325673279067</v>
      </c>
      <c r="I362" s="6">
        <v>2.0299999999999998</v>
      </c>
      <c r="J362" s="5">
        <v>5</v>
      </c>
      <c r="K362">
        <f t="shared" ref="K362" si="351">G362*$V$2/$R$10</f>
        <v>58258.190327782111</v>
      </c>
      <c r="L362" s="10">
        <v>3613</v>
      </c>
      <c r="M362" s="8">
        <f t="shared" si="312"/>
        <v>30.874130110916145</v>
      </c>
      <c r="N362">
        <v>0.54247217340363207</v>
      </c>
      <c r="O362">
        <v>0.46800000000000003</v>
      </c>
      <c r="P362" s="14">
        <v>448.08727494832698</v>
      </c>
    </row>
    <row r="363" spans="1:16" x14ac:dyDescent="0.35">
      <c r="A363" s="5">
        <v>2017</v>
      </c>
      <c r="B363" s="5">
        <v>39</v>
      </c>
      <c r="C363" s="5" t="s">
        <v>32</v>
      </c>
      <c r="D363" s="5" t="s">
        <v>80</v>
      </c>
      <c r="E363" s="5">
        <v>741</v>
      </c>
      <c r="F363" s="5">
        <v>11737959</v>
      </c>
      <c r="G363" s="5">
        <v>46114</v>
      </c>
      <c r="H363" s="5">
        <f t="shared" si="288"/>
        <v>6.3128521747264585</v>
      </c>
      <c r="I363" s="6">
        <v>2.02</v>
      </c>
      <c r="J363" s="5">
        <v>5</v>
      </c>
      <c r="K363">
        <f t="shared" ref="K363" si="352">G363*$V$2/$R$11</f>
        <v>59013.766914164487</v>
      </c>
      <c r="L363" s="10">
        <v>4293</v>
      </c>
      <c r="M363" s="8">
        <f t="shared" si="312"/>
        <v>36.573649643860577</v>
      </c>
      <c r="N363">
        <v>0.52758620689655178</v>
      </c>
      <c r="O363">
        <v>0.4642</v>
      </c>
      <c r="P363" s="14">
        <v>440.77966231438302</v>
      </c>
    </row>
    <row r="364" spans="1:16" x14ac:dyDescent="0.35">
      <c r="A364" s="5">
        <v>2018</v>
      </c>
      <c r="B364" s="5">
        <v>39</v>
      </c>
      <c r="C364" s="5" t="s">
        <v>32</v>
      </c>
      <c r="D364" s="5" t="s">
        <v>80</v>
      </c>
      <c r="E364" s="5">
        <v>596</v>
      </c>
      <c r="F364" s="5">
        <v>11763104</v>
      </c>
      <c r="G364" s="5">
        <v>47821</v>
      </c>
      <c r="H364" s="5">
        <f t="shared" si="288"/>
        <v>5.0666898804941276</v>
      </c>
      <c r="I364" s="6">
        <v>2.0299999999999998</v>
      </c>
      <c r="J364" s="5">
        <v>4.5</v>
      </c>
      <c r="K364">
        <f t="shared" ref="K364" si="353">G364*$V$2/$R$12</f>
        <v>59739.161668133514</v>
      </c>
      <c r="L364" s="10">
        <v>3237</v>
      </c>
      <c r="M364" s="8">
        <f t="shared" si="312"/>
        <v>27.518246884495792</v>
      </c>
      <c r="N364">
        <v>0.52339499455930361</v>
      </c>
      <c r="O364">
        <v>0.4667</v>
      </c>
      <c r="P364" s="14">
        <v>431.57505855415201</v>
      </c>
    </row>
    <row r="365" spans="1:16" x14ac:dyDescent="0.35">
      <c r="A365" s="5">
        <v>2008</v>
      </c>
      <c r="B365" s="5">
        <v>40</v>
      </c>
      <c r="C365" s="5" t="s">
        <v>33</v>
      </c>
      <c r="D365" s="5" t="s">
        <v>81</v>
      </c>
      <c r="E365" s="5">
        <v>215</v>
      </c>
      <c r="F365" s="5">
        <v>3668976</v>
      </c>
      <c r="G365" s="5">
        <v>39154</v>
      </c>
      <c r="H365" s="5">
        <f t="shared" ref="H365:H428" si="354">E365/F365*100000</f>
        <v>5.8599456633131428</v>
      </c>
      <c r="I365" s="6">
        <v>1.97</v>
      </c>
      <c r="J365" s="5">
        <v>3.6</v>
      </c>
      <c r="K365">
        <f t="shared" ref="K365" si="355">G365*$V$2/$R$2</f>
        <v>57046.019358764162</v>
      </c>
      <c r="L365" s="10">
        <v>410</v>
      </c>
      <c r="M365" s="8">
        <f t="shared" si="312"/>
        <v>11.174780102132038</v>
      </c>
      <c r="N365">
        <v>0.60173913043478255</v>
      </c>
      <c r="O365">
        <v>0.45800000000000002</v>
      </c>
      <c r="P365" s="14">
        <v>664.38</v>
      </c>
    </row>
    <row r="366" spans="1:16" x14ac:dyDescent="0.35">
      <c r="A366" s="5">
        <v>2009</v>
      </c>
      <c r="B366" s="5">
        <v>40</v>
      </c>
      <c r="C366" s="5" t="s">
        <v>33</v>
      </c>
      <c r="D366" s="5" t="s">
        <v>81</v>
      </c>
      <c r="E366" s="5">
        <v>234</v>
      </c>
      <c r="F366" s="5">
        <v>3717572</v>
      </c>
      <c r="G366" s="5">
        <v>35835</v>
      </c>
      <c r="H366" s="5">
        <f t="shared" si="354"/>
        <v>6.294430881231083</v>
      </c>
      <c r="I366" s="6">
        <v>1.93</v>
      </c>
      <c r="J366" s="5">
        <v>6.6000000000000005</v>
      </c>
      <c r="K366">
        <f t="shared" ref="K366" si="356">G366*$V$2/$R$3</f>
        <v>52396.767527279684</v>
      </c>
      <c r="L366" s="10">
        <v>568</v>
      </c>
      <c r="M366" s="8">
        <f t="shared" si="312"/>
        <v>15.278789489483996</v>
      </c>
      <c r="N366">
        <v>0.64021164021164023</v>
      </c>
      <c r="O366">
        <v>0.46</v>
      </c>
      <c r="P366" s="14">
        <v>661.67</v>
      </c>
    </row>
    <row r="367" spans="1:16" x14ac:dyDescent="0.35">
      <c r="A367" s="5">
        <v>2010</v>
      </c>
      <c r="B367" s="5">
        <v>40</v>
      </c>
      <c r="C367" s="5" t="s">
        <v>33</v>
      </c>
      <c r="D367" s="5" t="s">
        <v>81</v>
      </c>
      <c r="E367" s="5">
        <v>195</v>
      </c>
      <c r="F367" s="5">
        <v>3759558</v>
      </c>
      <c r="G367" s="5">
        <v>37157</v>
      </c>
      <c r="H367" s="5">
        <f t="shared" si="354"/>
        <v>5.1867799353009056</v>
      </c>
      <c r="I367" s="6">
        <v>1.92</v>
      </c>
      <c r="J367" s="5">
        <v>6.5</v>
      </c>
      <c r="K367">
        <f t="shared" ref="K367" si="357">G367*$V$2/$R$4</f>
        <v>53452.976175844735</v>
      </c>
      <c r="L367" s="10">
        <v>510</v>
      </c>
      <c r="M367" s="8">
        <f t="shared" si="312"/>
        <v>13.565424446171598</v>
      </c>
      <c r="N367">
        <v>0.60841423948220064</v>
      </c>
      <c r="O367">
        <v>0.45400000000000001</v>
      </c>
      <c r="P367" s="14">
        <v>651.94000000000005</v>
      </c>
    </row>
    <row r="368" spans="1:16" x14ac:dyDescent="0.35">
      <c r="A368" s="5">
        <v>2011</v>
      </c>
      <c r="B368" s="5">
        <v>40</v>
      </c>
      <c r="C368" s="5" t="s">
        <v>33</v>
      </c>
      <c r="D368" s="5" t="s">
        <v>81</v>
      </c>
      <c r="E368" s="5">
        <v>212</v>
      </c>
      <c r="F368" s="5">
        <v>3786536</v>
      </c>
      <c r="G368" s="5">
        <v>39694</v>
      </c>
      <c r="H368" s="5">
        <f t="shared" si="354"/>
        <v>5.5987847467976009</v>
      </c>
      <c r="I368" s="6">
        <v>1.92</v>
      </c>
      <c r="J368" s="5">
        <v>5.6000000000000005</v>
      </c>
      <c r="K368">
        <f t="shared" ref="K368" si="358">G368*$V$2/$R$5</f>
        <v>55355.323736657498</v>
      </c>
      <c r="L368" s="10">
        <v>483</v>
      </c>
      <c r="M368" s="8">
        <f t="shared" si="312"/>
        <v>12.75572185237378</v>
      </c>
      <c r="N368">
        <v>0.63492063492063489</v>
      </c>
      <c r="O368">
        <v>0.46129999999999999</v>
      </c>
      <c r="P368" s="14">
        <v>632.16494389615002</v>
      </c>
    </row>
    <row r="369" spans="1:16" x14ac:dyDescent="0.35">
      <c r="A369" s="5">
        <v>2012</v>
      </c>
      <c r="B369" s="5">
        <v>40</v>
      </c>
      <c r="C369" s="5" t="s">
        <v>33</v>
      </c>
      <c r="D369" s="5" t="s">
        <v>81</v>
      </c>
      <c r="E369" s="5">
        <v>220</v>
      </c>
      <c r="F369" s="5">
        <v>3815196</v>
      </c>
      <c r="G369" s="5">
        <v>41905</v>
      </c>
      <c r="H369" s="5">
        <f t="shared" si="354"/>
        <v>5.7664140977291858</v>
      </c>
      <c r="I369" s="6">
        <v>1.94</v>
      </c>
      <c r="J369" s="5">
        <v>5.1000000000000005</v>
      </c>
      <c r="K369">
        <f t="shared" ref="K369" si="359">G369*$V$2/$R$6</f>
        <v>57253.83740428758</v>
      </c>
      <c r="L369" s="10">
        <v>531</v>
      </c>
      <c r="M369" s="8">
        <f t="shared" si="312"/>
        <v>13.918026754064535</v>
      </c>
      <c r="N369">
        <v>0.61343283582089547</v>
      </c>
      <c r="O369">
        <v>0.46429999999999999</v>
      </c>
      <c r="P369" s="14">
        <v>647.89518866718299</v>
      </c>
    </row>
    <row r="370" spans="1:16" x14ac:dyDescent="0.35">
      <c r="A370" s="5">
        <v>2013</v>
      </c>
      <c r="B370" s="5">
        <v>40</v>
      </c>
      <c r="C370" s="5" t="s">
        <v>33</v>
      </c>
      <c r="D370" s="5" t="s">
        <v>81</v>
      </c>
      <c r="E370" s="5">
        <v>198</v>
      </c>
      <c r="F370" s="5">
        <v>3847936</v>
      </c>
      <c r="G370" s="5">
        <v>43607</v>
      </c>
      <c r="H370" s="5">
        <f t="shared" si="354"/>
        <v>5.1456157274965078</v>
      </c>
      <c r="I370" s="6">
        <v>1.93</v>
      </c>
      <c r="J370" s="5">
        <v>5.1000000000000005</v>
      </c>
      <c r="K370">
        <f t="shared" ref="K370" si="360">G370*$V$2/$R$7</f>
        <v>58719.146550650985</v>
      </c>
      <c r="L370" s="10">
        <v>511</v>
      </c>
      <c r="M370" s="8">
        <f t="shared" si="312"/>
        <v>13.279846650256138</v>
      </c>
      <c r="N370">
        <v>0.65112781954887222</v>
      </c>
      <c r="O370">
        <v>0.46189999999999998</v>
      </c>
      <c r="P370" s="14">
        <v>702.77338539023799</v>
      </c>
    </row>
    <row r="371" spans="1:16" x14ac:dyDescent="0.35">
      <c r="A371" s="5">
        <v>2014</v>
      </c>
      <c r="B371" s="5">
        <v>40</v>
      </c>
      <c r="C371" s="5" t="s">
        <v>33</v>
      </c>
      <c r="D371" s="5" t="s">
        <v>81</v>
      </c>
      <c r="E371" s="5">
        <v>180</v>
      </c>
      <c r="F371" s="5">
        <v>3871400</v>
      </c>
      <c r="G371" s="5">
        <v>45884</v>
      </c>
      <c r="H371" s="5">
        <f t="shared" si="354"/>
        <v>4.6494808079764427</v>
      </c>
      <c r="I371" s="6">
        <v>1.91</v>
      </c>
      <c r="J371" s="5">
        <v>4.3</v>
      </c>
      <c r="K371">
        <f t="shared" ref="K371" si="361">G371*$V$2/$R$8</f>
        <v>60798.974706001631</v>
      </c>
      <c r="L371" s="10">
        <v>502</v>
      </c>
      <c r="M371" s="8">
        <f t="shared" si="312"/>
        <v>12.966885364467634</v>
      </c>
      <c r="N371">
        <v>0.59103260869565222</v>
      </c>
      <c r="O371">
        <v>0.46600000000000003</v>
      </c>
      <c r="P371" s="14">
        <v>699.53595216027099</v>
      </c>
    </row>
    <row r="372" spans="1:16" x14ac:dyDescent="0.35">
      <c r="A372" s="5">
        <v>2015</v>
      </c>
      <c r="B372" s="5">
        <v>40</v>
      </c>
      <c r="C372" s="5" t="s">
        <v>33</v>
      </c>
      <c r="D372" s="5" t="s">
        <v>81</v>
      </c>
      <c r="E372" s="5">
        <v>240</v>
      </c>
      <c r="F372" s="5">
        <v>3900900</v>
      </c>
      <c r="G372" s="5">
        <v>44279</v>
      </c>
      <c r="H372" s="5">
        <f t="shared" si="354"/>
        <v>6.152426363146966</v>
      </c>
      <c r="I372" s="6">
        <v>1.89</v>
      </c>
      <c r="J372" s="5">
        <v>4.3</v>
      </c>
      <c r="K372">
        <f t="shared" ref="K372" si="362">G372*$V$2/$R$9</f>
        <v>58602.696139939333</v>
      </c>
      <c r="L372" s="10">
        <v>427</v>
      </c>
      <c r="M372" s="8">
        <f t="shared" si="312"/>
        <v>10.946191904432311</v>
      </c>
      <c r="N372">
        <v>0.59240506329113929</v>
      </c>
      <c r="O372">
        <v>0.47020000000000001</v>
      </c>
      <c r="P372" s="14">
        <v>717.93195555634998</v>
      </c>
    </row>
    <row r="373" spans="1:16" x14ac:dyDescent="0.35">
      <c r="A373" s="5">
        <v>2016</v>
      </c>
      <c r="B373" s="5">
        <v>40</v>
      </c>
      <c r="C373" s="5" t="s">
        <v>33</v>
      </c>
      <c r="D373" s="5" t="s">
        <v>81</v>
      </c>
      <c r="E373" s="5">
        <v>247</v>
      </c>
      <c r="F373" s="5">
        <v>3916688</v>
      </c>
      <c r="G373" s="5">
        <v>42053</v>
      </c>
      <c r="H373" s="5">
        <f t="shared" si="354"/>
        <v>6.306348629250019</v>
      </c>
      <c r="I373" s="6">
        <v>1.89</v>
      </c>
      <c r="J373" s="5">
        <v>4.6000000000000005</v>
      </c>
      <c r="K373">
        <f t="shared" ref="K373" si="363">G373*$V$2/$R$10</f>
        <v>54963.244892857292</v>
      </c>
      <c r="L373" s="10">
        <v>444</v>
      </c>
      <c r="M373" s="8">
        <f t="shared" si="312"/>
        <v>11.336108467153881</v>
      </c>
      <c r="N373">
        <v>0.62895377128953767</v>
      </c>
      <c r="O373">
        <v>0.46450000000000002</v>
      </c>
      <c r="P373" s="14">
        <v>751.97370498368798</v>
      </c>
    </row>
    <row r="374" spans="1:16" x14ac:dyDescent="0.35">
      <c r="A374" s="5">
        <v>2017</v>
      </c>
      <c r="B374" s="5">
        <v>40</v>
      </c>
      <c r="C374" s="5" t="s">
        <v>33</v>
      </c>
      <c r="D374" s="5" t="s">
        <v>81</v>
      </c>
      <c r="E374" s="5">
        <v>243</v>
      </c>
      <c r="F374" s="5">
        <v>3920316</v>
      </c>
      <c r="G374" s="5">
        <v>43873</v>
      </c>
      <c r="H374" s="5">
        <f t="shared" si="354"/>
        <v>6.1984799184555541</v>
      </c>
      <c r="I374" s="6">
        <v>1.87</v>
      </c>
      <c r="J374" s="5">
        <v>4</v>
      </c>
      <c r="K374">
        <f t="shared" ref="K374" si="364">G374*$V$2/$R$11</f>
        <v>56145.877517134468</v>
      </c>
      <c r="L374" s="10">
        <v>388</v>
      </c>
      <c r="M374" s="8">
        <f t="shared" si="312"/>
        <v>9.8971613512788252</v>
      </c>
      <c r="N374">
        <v>0.5806878306878307</v>
      </c>
      <c r="O374">
        <v>0.46579999999999999</v>
      </c>
      <c r="P374" s="14">
        <v>704.04404483701001</v>
      </c>
    </row>
    <row r="375" spans="1:16" x14ac:dyDescent="0.35">
      <c r="A375" s="5">
        <v>2018</v>
      </c>
      <c r="B375" s="5">
        <v>40</v>
      </c>
      <c r="C375" s="5" t="s">
        <v>33</v>
      </c>
      <c r="D375" s="5" t="s">
        <v>81</v>
      </c>
      <c r="E375" s="5">
        <v>215</v>
      </c>
      <c r="F375" s="5">
        <v>3928371</v>
      </c>
      <c r="G375" s="5">
        <v>46030</v>
      </c>
      <c r="H375" s="5">
        <f t="shared" si="354"/>
        <v>5.4730064955677555</v>
      </c>
      <c r="I375" s="6">
        <v>1.85</v>
      </c>
      <c r="J375" s="5">
        <v>3.3000000000000003</v>
      </c>
      <c r="K375">
        <f t="shared" ref="K375" si="365">G375*$V$2/$R$12</f>
        <v>57501.800706471753</v>
      </c>
      <c r="L375" s="10">
        <v>308</v>
      </c>
      <c r="M375" s="8">
        <f t="shared" si="312"/>
        <v>7.8404000029528778</v>
      </c>
      <c r="N375">
        <v>0.58860759493670889</v>
      </c>
      <c r="O375">
        <v>0.46870000000000001</v>
      </c>
      <c r="P375" s="14">
        <v>673.96538413722703</v>
      </c>
    </row>
    <row r="376" spans="1:16" x14ac:dyDescent="0.35">
      <c r="A376" s="5">
        <v>2008</v>
      </c>
      <c r="B376" s="5">
        <v>41</v>
      </c>
      <c r="C376" s="5" t="s">
        <v>34</v>
      </c>
      <c r="D376" s="5" t="s">
        <v>82</v>
      </c>
      <c r="E376" s="5">
        <v>87</v>
      </c>
      <c r="F376" s="5">
        <v>3768748</v>
      </c>
      <c r="G376" s="5">
        <v>36856</v>
      </c>
      <c r="H376" s="5">
        <f t="shared" si="354"/>
        <v>2.3084589364956214</v>
      </c>
      <c r="I376" s="6">
        <v>2.54</v>
      </c>
      <c r="J376" s="5">
        <v>6.2</v>
      </c>
      <c r="K376">
        <f t="shared" ref="K376" si="366">G376*$V$2/$R$2</f>
        <v>53697.913099213663</v>
      </c>
      <c r="L376" s="10">
        <v>342</v>
      </c>
      <c r="M376" s="8">
        <f t="shared" si="312"/>
        <v>9.0746316813965802</v>
      </c>
      <c r="N376">
        <v>0.55769230769230771</v>
      </c>
      <c r="O376">
        <v>0.44700000000000001</v>
      </c>
      <c r="P376" s="14">
        <v>373.54</v>
      </c>
    </row>
    <row r="377" spans="1:16" x14ac:dyDescent="0.35">
      <c r="A377" s="5">
        <v>2009</v>
      </c>
      <c r="B377" s="5">
        <v>41</v>
      </c>
      <c r="C377" s="5" t="s">
        <v>34</v>
      </c>
      <c r="D377" s="5" t="s">
        <v>82</v>
      </c>
      <c r="E377" s="5">
        <v>88</v>
      </c>
      <c r="F377" s="5">
        <v>3808600</v>
      </c>
      <c r="G377" s="5">
        <v>35286</v>
      </c>
      <c r="H377" s="5">
        <f t="shared" si="354"/>
        <v>2.3105603108753874</v>
      </c>
      <c r="I377" s="6">
        <v>2.59</v>
      </c>
      <c r="J377" s="5">
        <v>10.8</v>
      </c>
      <c r="K377">
        <f t="shared" ref="K377" si="367">G377*$V$2/$R$3</f>
        <v>51594.037643856311</v>
      </c>
      <c r="L377" s="10">
        <v>368</v>
      </c>
      <c r="M377" s="8">
        <f t="shared" si="312"/>
        <v>9.6623431182061648</v>
      </c>
      <c r="N377">
        <v>0.5357142857142857</v>
      </c>
      <c r="O377">
        <v>0.443</v>
      </c>
      <c r="P377" s="14">
        <v>375.49</v>
      </c>
    </row>
    <row r="378" spans="1:16" x14ac:dyDescent="0.35">
      <c r="A378" s="5">
        <v>2010</v>
      </c>
      <c r="B378" s="5">
        <v>41</v>
      </c>
      <c r="C378" s="5" t="s">
        <v>34</v>
      </c>
      <c r="D378" s="5" t="s">
        <v>82</v>
      </c>
      <c r="E378" s="5">
        <v>96</v>
      </c>
      <c r="F378" s="5">
        <v>3837609</v>
      </c>
      <c r="G378" s="5">
        <v>35941</v>
      </c>
      <c r="H378" s="5">
        <f t="shared" si="354"/>
        <v>2.501557610480901</v>
      </c>
      <c r="I378" s="6">
        <v>2.5099999999999998</v>
      </c>
      <c r="J378" s="5">
        <v>10.700000000000001</v>
      </c>
      <c r="K378">
        <f t="shared" ref="K378" si="368">G378*$V$2/$R$4</f>
        <v>51703.674051619768</v>
      </c>
      <c r="L378" s="10">
        <v>332</v>
      </c>
      <c r="M378" s="8">
        <f t="shared" si="312"/>
        <v>8.6512200695797823</v>
      </c>
      <c r="N378">
        <v>0.54890510948905114</v>
      </c>
      <c r="O378">
        <v>0.44900000000000001</v>
      </c>
      <c r="P378" s="14">
        <v>386.39</v>
      </c>
    </row>
    <row r="379" spans="1:16" x14ac:dyDescent="0.35">
      <c r="A379" s="5">
        <v>2011</v>
      </c>
      <c r="B379" s="5">
        <v>41</v>
      </c>
      <c r="C379" s="5" t="s">
        <v>34</v>
      </c>
      <c r="D379" s="5" t="s">
        <v>82</v>
      </c>
      <c r="E379" s="5">
        <v>84</v>
      </c>
      <c r="F379" s="5">
        <v>3872651</v>
      </c>
      <c r="G379" s="5">
        <v>37531</v>
      </c>
      <c r="H379" s="5">
        <f t="shared" si="354"/>
        <v>2.169056803724374</v>
      </c>
      <c r="I379" s="6">
        <v>2.59</v>
      </c>
      <c r="J379" s="5">
        <v>9.6000000000000014</v>
      </c>
      <c r="K379">
        <f t="shared" ref="K379" si="369">G379*$V$2/$R$5</f>
        <v>52338.909033115648</v>
      </c>
      <c r="L379" s="10">
        <v>392</v>
      </c>
      <c r="M379" s="8">
        <f t="shared" si="312"/>
        <v>10.122265084047077</v>
      </c>
      <c r="N379">
        <v>0.52286585365853655</v>
      </c>
      <c r="O379">
        <v>0.45860000000000001</v>
      </c>
      <c r="P379" s="14">
        <v>372.215654938917</v>
      </c>
    </row>
    <row r="380" spans="1:16" x14ac:dyDescent="0.35">
      <c r="A380" s="5">
        <v>2012</v>
      </c>
      <c r="B380" s="5">
        <v>41</v>
      </c>
      <c r="C380" s="5" t="s">
        <v>34</v>
      </c>
      <c r="D380" s="5" t="s">
        <v>82</v>
      </c>
      <c r="E380" s="5">
        <v>91</v>
      </c>
      <c r="F380" s="5">
        <v>3900064</v>
      </c>
      <c r="G380" s="5">
        <v>39128</v>
      </c>
      <c r="H380" s="5">
        <f t="shared" si="354"/>
        <v>2.3332950433633912</v>
      </c>
      <c r="I380" s="6">
        <v>2.66</v>
      </c>
      <c r="J380" s="5">
        <v>8.8000000000000007</v>
      </c>
      <c r="K380">
        <f t="shared" ref="K380" si="370">G380*$V$2/$R$6</f>
        <v>53459.686193890091</v>
      </c>
      <c r="L380" s="10">
        <v>361</v>
      </c>
      <c r="M380" s="8">
        <f t="shared" si="312"/>
        <v>9.2562583588371883</v>
      </c>
      <c r="N380">
        <v>0.50690607734806625</v>
      </c>
      <c r="O380">
        <v>0.45650000000000002</v>
      </c>
      <c r="P380" s="14">
        <v>378.25681391277698</v>
      </c>
    </row>
    <row r="381" spans="1:16" x14ac:dyDescent="0.35">
      <c r="A381" s="5">
        <v>2013</v>
      </c>
      <c r="B381" s="5">
        <v>41</v>
      </c>
      <c r="C381" s="5" t="s">
        <v>34</v>
      </c>
      <c r="D381" s="5" t="s">
        <v>82</v>
      </c>
      <c r="E381" s="5">
        <v>82</v>
      </c>
      <c r="F381" s="5">
        <v>3924055</v>
      </c>
      <c r="G381" s="5">
        <v>39462</v>
      </c>
      <c r="H381" s="5">
        <f t="shared" si="354"/>
        <v>2.0896750937486859</v>
      </c>
      <c r="I381" s="6">
        <v>2.66</v>
      </c>
      <c r="J381" s="5">
        <v>7.8000000000000007</v>
      </c>
      <c r="K381">
        <f t="shared" ref="K381" si="371">G381*$V$2/$R$7</f>
        <v>53137.683426555115</v>
      </c>
      <c r="L381" s="10">
        <v>301</v>
      </c>
      <c r="M381" s="8">
        <f t="shared" si="312"/>
        <v>7.6706366246140787</v>
      </c>
      <c r="N381">
        <v>0.55730659025787965</v>
      </c>
      <c r="O381">
        <v>0.46</v>
      </c>
      <c r="P381" s="14">
        <v>384.29212277095399</v>
      </c>
    </row>
    <row r="382" spans="1:16" x14ac:dyDescent="0.35">
      <c r="A382" s="5">
        <v>2014</v>
      </c>
      <c r="B382" s="5">
        <v>41</v>
      </c>
      <c r="C382" s="5" t="s">
        <v>34</v>
      </c>
      <c r="D382" s="5" t="s">
        <v>82</v>
      </c>
      <c r="E382" s="5">
        <v>84</v>
      </c>
      <c r="F382" s="5">
        <v>3965375</v>
      </c>
      <c r="G382" s="5">
        <v>41654</v>
      </c>
      <c r="H382" s="5">
        <f t="shared" si="354"/>
        <v>2.1183368533871323</v>
      </c>
      <c r="I382" s="6">
        <v>2.7</v>
      </c>
      <c r="J382" s="5">
        <v>6.7</v>
      </c>
      <c r="K382">
        <f t="shared" ref="K382" si="372">G382*$V$2/$R$8</f>
        <v>55193.978127534472</v>
      </c>
      <c r="L382" s="10">
        <v>340</v>
      </c>
      <c r="M382" s="8">
        <f t="shared" si="312"/>
        <v>8.5742205970431549</v>
      </c>
      <c r="N382">
        <v>0.53964194373401531</v>
      </c>
      <c r="O382">
        <v>0.46239999999999998</v>
      </c>
      <c r="P382" s="14">
        <v>376.34353517525102</v>
      </c>
    </row>
    <row r="383" spans="1:16" x14ac:dyDescent="0.35">
      <c r="A383" s="5">
        <v>2015</v>
      </c>
      <c r="B383" s="5">
        <v>41</v>
      </c>
      <c r="C383" s="5" t="s">
        <v>34</v>
      </c>
      <c r="D383" s="5" t="s">
        <v>82</v>
      </c>
      <c r="E383" s="5">
        <v>110</v>
      </c>
      <c r="F383" s="5">
        <v>4018453</v>
      </c>
      <c r="G383" s="5">
        <v>44166</v>
      </c>
      <c r="H383" s="5">
        <f t="shared" si="354"/>
        <v>2.7373718194539043</v>
      </c>
      <c r="I383" s="6">
        <v>2.71</v>
      </c>
      <c r="J383" s="5">
        <v>5.5</v>
      </c>
      <c r="K383">
        <f t="shared" ref="K383" si="373">G383*$V$2/$R$9</f>
        <v>58453.142069978108</v>
      </c>
      <c r="L383" s="10">
        <v>331</v>
      </c>
      <c r="M383" s="8">
        <f t="shared" si="312"/>
        <v>8.2370006567203848</v>
      </c>
      <c r="N383">
        <v>0.48950131233595801</v>
      </c>
      <c r="O383">
        <v>0.4622</v>
      </c>
      <c r="P383" s="14">
        <v>375.15346067367</v>
      </c>
    </row>
    <row r="384" spans="1:16" x14ac:dyDescent="0.35">
      <c r="A384" s="5">
        <v>2016</v>
      </c>
      <c r="B384" s="5">
        <v>41</v>
      </c>
      <c r="C384" s="5" t="s">
        <v>34</v>
      </c>
      <c r="D384" s="5" t="s">
        <v>82</v>
      </c>
      <c r="E384" s="5">
        <v>116</v>
      </c>
      <c r="F384" s="5">
        <v>4093165</v>
      </c>
      <c r="G384" s="5">
        <v>45467</v>
      </c>
      <c r="H384" s="5">
        <f t="shared" si="354"/>
        <v>2.8339927659891551</v>
      </c>
      <c r="I384" s="6">
        <v>2.76</v>
      </c>
      <c r="J384" s="5">
        <v>4.7</v>
      </c>
      <c r="K384">
        <f t="shared" ref="K384" si="374">G384*$V$2/$R$10</f>
        <v>59425.340773394106</v>
      </c>
      <c r="L384" s="10">
        <v>312</v>
      </c>
      <c r="M384" s="8">
        <f t="shared" si="312"/>
        <v>7.6224633016260039</v>
      </c>
      <c r="N384">
        <v>0.53626943005181349</v>
      </c>
      <c r="O384">
        <v>0.45829999999999999</v>
      </c>
      <c r="P384" s="14">
        <v>368.11461655577898</v>
      </c>
    </row>
    <row r="385" spans="1:16" x14ac:dyDescent="0.35">
      <c r="A385" s="5">
        <v>2017</v>
      </c>
      <c r="B385" s="5">
        <v>41</v>
      </c>
      <c r="C385" s="5" t="s">
        <v>34</v>
      </c>
      <c r="D385" s="5" t="s">
        <v>82</v>
      </c>
      <c r="E385" s="5">
        <v>105</v>
      </c>
      <c r="F385" s="5">
        <v>4147171</v>
      </c>
      <c r="G385" s="5">
        <v>47566</v>
      </c>
      <c r="H385" s="5">
        <f t="shared" si="354"/>
        <v>2.5318464080695011</v>
      </c>
      <c r="I385" s="6">
        <v>2.76</v>
      </c>
      <c r="J385" s="5">
        <v>4.1000000000000005</v>
      </c>
      <c r="K385">
        <f t="shared" ref="K385" si="375">G385*$V$2/$R$11</f>
        <v>60871.944247715408</v>
      </c>
      <c r="L385" s="10">
        <v>344</v>
      </c>
      <c r="M385" s="8">
        <f t="shared" si="312"/>
        <v>8.2948110892943649</v>
      </c>
      <c r="N385">
        <v>0.53212121212121211</v>
      </c>
      <c r="O385">
        <v>0.45929999999999999</v>
      </c>
      <c r="P385" s="14">
        <v>364.56312146619598</v>
      </c>
    </row>
    <row r="386" spans="1:16" x14ac:dyDescent="0.35">
      <c r="A386" s="5">
        <v>2018</v>
      </c>
      <c r="B386" s="5">
        <v>41</v>
      </c>
      <c r="C386" s="5" t="s">
        <v>34</v>
      </c>
      <c r="D386" s="5" t="s">
        <v>82</v>
      </c>
      <c r="E386" s="5">
        <v>86</v>
      </c>
      <c r="F386" s="5">
        <v>4183398</v>
      </c>
      <c r="G386" s="5">
        <v>50209</v>
      </c>
      <c r="H386" s="5">
        <f t="shared" si="354"/>
        <v>2.0557451143783116</v>
      </c>
      <c r="I386" s="6">
        <v>2.74</v>
      </c>
      <c r="J386" s="5">
        <v>4</v>
      </c>
      <c r="K386">
        <f t="shared" ref="K386" si="376">G386*$V$2/$R$12</f>
        <v>62722.309617015853</v>
      </c>
      <c r="L386" s="10">
        <v>339</v>
      </c>
      <c r="M386" s="8">
        <f t="shared" si="312"/>
        <v>8.1034603927238091</v>
      </c>
      <c r="N386">
        <v>0.50592417061611372</v>
      </c>
      <c r="O386">
        <v>0.4582</v>
      </c>
      <c r="P386" s="14">
        <v>363.028942095574</v>
      </c>
    </row>
    <row r="387" spans="1:16" x14ac:dyDescent="0.35">
      <c r="A387" s="5">
        <v>2008</v>
      </c>
      <c r="B387" s="5">
        <v>42</v>
      </c>
      <c r="C387" s="5" t="s">
        <v>35</v>
      </c>
      <c r="D387" s="5" t="s">
        <v>83</v>
      </c>
      <c r="E387" s="5">
        <v>705</v>
      </c>
      <c r="F387" s="5">
        <v>12612285</v>
      </c>
      <c r="G387" s="5">
        <v>41467</v>
      </c>
      <c r="H387" s="5">
        <f t="shared" si="354"/>
        <v>5.5897880518875045</v>
      </c>
      <c r="I387" s="6">
        <v>2.23</v>
      </c>
      <c r="J387" s="5">
        <v>5.3000000000000007</v>
      </c>
      <c r="K387">
        <f t="shared" ref="K387" si="377">G387*$V$2/$R$2</f>
        <v>60415.980097815642</v>
      </c>
      <c r="L387" s="10">
        <v>611</v>
      </c>
      <c r="M387" s="8">
        <f t="shared" ref="M387:M450" si="378">L387/F387*100000</f>
        <v>4.844482978302505</v>
      </c>
      <c r="N387">
        <v>0.50032488628979854</v>
      </c>
      <c r="O387">
        <v>0.45700000000000002</v>
      </c>
      <c r="P387" s="14">
        <v>390.3</v>
      </c>
    </row>
    <row r="388" spans="1:16" x14ac:dyDescent="0.35">
      <c r="A388" s="5">
        <v>2009</v>
      </c>
      <c r="B388" s="5">
        <v>42</v>
      </c>
      <c r="C388" s="5" t="s">
        <v>35</v>
      </c>
      <c r="D388" s="5" t="s">
        <v>83</v>
      </c>
      <c r="E388" s="5">
        <v>664</v>
      </c>
      <c r="F388" s="5">
        <v>12666858</v>
      </c>
      <c r="G388" s="5">
        <v>40446</v>
      </c>
      <c r="H388" s="5">
        <f t="shared" si="354"/>
        <v>5.242026080974461</v>
      </c>
      <c r="I388" s="6">
        <v>2.27</v>
      </c>
      <c r="J388" s="5">
        <v>8</v>
      </c>
      <c r="K388">
        <f t="shared" ref="K388" si="379">G388*$V$2/$R$3</f>
        <v>59138.821247616965</v>
      </c>
      <c r="L388" s="10">
        <v>637</v>
      </c>
      <c r="M388" s="8">
        <f t="shared" si="378"/>
        <v>5.0288714059950781</v>
      </c>
      <c r="N388">
        <v>0.50582464745554878</v>
      </c>
      <c r="O388">
        <v>0.46</v>
      </c>
      <c r="P388" s="14">
        <v>407.12</v>
      </c>
    </row>
    <row r="389" spans="1:16" x14ac:dyDescent="0.35">
      <c r="A389" s="5">
        <v>2010</v>
      </c>
      <c r="B389" s="5">
        <v>42</v>
      </c>
      <c r="C389" s="5" t="s">
        <v>35</v>
      </c>
      <c r="D389" s="5" t="s">
        <v>83</v>
      </c>
      <c r="E389" s="5">
        <v>653</v>
      </c>
      <c r="F389" s="5">
        <v>12716596</v>
      </c>
      <c r="G389" s="5">
        <v>42097</v>
      </c>
      <c r="H389" s="5">
        <f t="shared" si="354"/>
        <v>5.1350219822977783</v>
      </c>
      <c r="I389" s="6">
        <v>2.2999999999999998</v>
      </c>
      <c r="J389" s="5">
        <v>8.2000000000000011</v>
      </c>
      <c r="K389">
        <f t="shared" ref="K389" si="380">G389*$V$2/$R$4</f>
        <v>60559.516055508677</v>
      </c>
      <c r="L389" s="10">
        <v>629</v>
      </c>
      <c r="M389" s="8">
        <f t="shared" si="378"/>
        <v>4.9462922310341542</v>
      </c>
      <c r="N389">
        <v>0.48350253807106597</v>
      </c>
      <c r="O389">
        <v>0.46100000000000002</v>
      </c>
      <c r="P389" s="14">
        <v>401.6</v>
      </c>
    </row>
    <row r="390" spans="1:16" x14ac:dyDescent="0.35">
      <c r="A390" s="5">
        <v>2011</v>
      </c>
      <c r="B390" s="5">
        <v>42</v>
      </c>
      <c r="C390" s="5" t="s">
        <v>35</v>
      </c>
      <c r="D390" s="5" t="s">
        <v>83</v>
      </c>
      <c r="E390" s="5">
        <v>639</v>
      </c>
      <c r="F390" s="5">
        <v>12773059</v>
      </c>
      <c r="G390" s="5">
        <v>44119</v>
      </c>
      <c r="H390" s="5">
        <f t="shared" si="354"/>
        <v>5.0027170468718571</v>
      </c>
      <c r="I390" s="6">
        <v>2.3299999999999899</v>
      </c>
      <c r="J390" s="5">
        <v>7.8000000000000007</v>
      </c>
      <c r="K390">
        <f t="shared" ref="K390" si="381">G390*$V$2/$R$5</f>
        <v>61526.213733501085</v>
      </c>
      <c r="L390" s="10">
        <v>752</v>
      </c>
      <c r="M390" s="8">
        <f t="shared" si="378"/>
        <v>5.8873915794172715</v>
      </c>
      <c r="N390">
        <v>0.50543789353176871</v>
      </c>
      <c r="O390">
        <v>0.46110000000000001</v>
      </c>
      <c r="P390" s="14">
        <v>402.85521576389101</v>
      </c>
    </row>
    <row r="391" spans="1:16" x14ac:dyDescent="0.35">
      <c r="A391" s="5">
        <v>2012</v>
      </c>
      <c r="B391" s="5">
        <v>42</v>
      </c>
      <c r="C391" s="5" t="s">
        <v>35</v>
      </c>
      <c r="D391" s="5" t="s">
        <v>83</v>
      </c>
      <c r="E391" s="5">
        <v>707</v>
      </c>
      <c r="F391" s="5">
        <v>12816003</v>
      </c>
      <c r="G391" s="5">
        <v>45637</v>
      </c>
      <c r="H391" s="5">
        <f t="shared" si="354"/>
        <v>5.5165405313965667</v>
      </c>
      <c r="I391" s="6">
        <v>2.34</v>
      </c>
      <c r="J391" s="5">
        <v>7.7</v>
      </c>
      <c r="K391">
        <f t="shared" ref="K391" si="382">G391*$V$2/$R$6</f>
        <v>62352.783143287721</v>
      </c>
      <c r="L391" s="10">
        <v>827</v>
      </c>
      <c r="M391" s="8">
        <f t="shared" si="378"/>
        <v>6.4528699002333259</v>
      </c>
      <c r="N391">
        <v>0.49726775956284153</v>
      </c>
      <c r="O391">
        <v>0.4642</v>
      </c>
      <c r="P391" s="14">
        <v>398.20774450638203</v>
      </c>
    </row>
    <row r="392" spans="1:16" x14ac:dyDescent="0.35">
      <c r="A392" s="5">
        <v>2013</v>
      </c>
      <c r="B392" s="5">
        <v>42</v>
      </c>
      <c r="C392" s="5" t="s">
        <v>35</v>
      </c>
      <c r="D392" s="5" t="s">
        <v>83</v>
      </c>
      <c r="E392" s="5">
        <v>611</v>
      </c>
      <c r="F392" s="5">
        <v>12847236</v>
      </c>
      <c r="G392" s="5">
        <v>45902</v>
      </c>
      <c r="H392" s="5">
        <f t="shared" si="354"/>
        <v>4.7558867915246514</v>
      </c>
      <c r="I392" s="6">
        <v>2.3299999999999899</v>
      </c>
      <c r="J392" s="5">
        <v>7.1000000000000005</v>
      </c>
      <c r="K392">
        <f t="shared" ref="K392" si="383">G392*$V$2/$R$7</f>
        <v>61809.486205608766</v>
      </c>
      <c r="L392" s="10">
        <v>958</v>
      </c>
      <c r="M392" s="8">
        <f t="shared" si="378"/>
        <v>7.4568568678897149</v>
      </c>
      <c r="N392">
        <v>0.51342281879194629</v>
      </c>
      <c r="O392">
        <v>0.46960000000000002</v>
      </c>
      <c r="P392" s="14">
        <v>400.48579753848003</v>
      </c>
    </row>
    <row r="393" spans="1:16" x14ac:dyDescent="0.35">
      <c r="A393" s="5">
        <v>2014</v>
      </c>
      <c r="B393" s="5">
        <v>42</v>
      </c>
      <c r="C393" s="5" t="s">
        <v>35</v>
      </c>
      <c r="D393" s="5" t="s">
        <v>83</v>
      </c>
      <c r="E393" s="5">
        <v>610</v>
      </c>
      <c r="F393" s="5">
        <v>12880907</v>
      </c>
      <c r="G393" s="5">
        <v>47467</v>
      </c>
      <c r="H393" s="5">
        <f t="shared" si="354"/>
        <v>4.7356913608645721</v>
      </c>
      <c r="I393" s="6">
        <v>2.34</v>
      </c>
      <c r="J393" s="5">
        <v>5.9</v>
      </c>
      <c r="K393">
        <f t="shared" ref="K393" si="384">G393*$V$2/$R$8</f>
        <v>62896.541983475268</v>
      </c>
      <c r="L393" s="10">
        <v>1092</v>
      </c>
      <c r="M393" s="8">
        <f t="shared" si="378"/>
        <v>8.4776638787936278</v>
      </c>
      <c r="N393">
        <v>0.49367088607594939</v>
      </c>
      <c r="O393">
        <v>0.46860000000000002</v>
      </c>
      <c r="P393" s="14">
        <v>393.82720012471799</v>
      </c>
    </row>
    <row r="394" spans="1:16" x14ac:dyDescent="0.35">
      <c r="A394" s="5">
        <v>2015</v>
      </c>
      <c r="B394" s="5">
        <v>42</v>
      </c>
      <c r="C394" s="5" t="s">
        <v>35</v>
      </c>
      <c r="D394" s="5" t="s">
        <v>83</v>
      </c>
      <c r="E394" s="5">
        <v>665</v>
      </c>
      <c r="F394" s="5">
        <v>12899169</v>
      </c>
      <c r="G394" s="5">
        <v>49291</v>
      </c>
      <c r="H394" s="5">
        <f t="shared" si="354"/>
        <v>5.1553708614872784</v>
      </c>
      <c r="I394" s="6">
        <v>2.3299999999999899</v>
      </c>
      <c r="J394" s="5">
        <v>5.4</v>
      </c>
      <c r="K394">
        <f t="shared" ref="K394" si="385">G394*$V$2/$R$9</f>
        <v>65236.014712024888</v>
      </c>
      <c r="L394" s="10">
        <v>1362</v>
      </c>
      <c r="M394" s="8">
        <f t="shared" si="378"/>
        <v>10.558819719316803</v>
      </c>
      <c r="N394">
        <v>0.49208025343189016</v>
      </c>
      <c r="O394">
        <v>0.46850000000000003</v>
      </c>
      <c r="P394" s="14">
        <v>387.62862803718798</v>
      </c>
    </row>
    <row r="395" spans="1:16" x14ac:dyDescent="0.35">
      <c r="A395" s="5">
        <v>2016</v>
      </c>
      <c r="B395" s="5">
        <v>42</v>
      </c>
      <c r="C395" s="5" t="s">
        <v>35</v>
      </c>
      <c r="D395" s="5" t="s">
        <v>83</v>
      </c>
      <c r="E395" s="5">
        <v>674</v>
      </c>
      <c r="F395" s="5">
        <v>12918673</v>
      </c>
      <c r="G395" s="5">
        <v>50572</v>
      </c>
      <c r="H395" s="5">
        <f t="shared" si="354"/>
        <v>5.2172541250947368</v>
      </c>
      <c r="I395" s="6">
        <v>2.36</v>
      </c>
      <c r="J395" s="5">
        <v>5.3000000000000007</v>
      </c>
      <c r="K395">
        <f t="shared" ref="K395" si="386">G395*$V$2/$R$10</f>
        <v>66097.57260413238</v>
      </c>
      <c r="L395" s="10">
        <v>2235</v>
      </c>
      <c r="M395" s="8">
        <f t="shared" si="378"/>
        <v>17.30053853054412</v>
      </c>
      <c r="N395">
        <v>0.49543147208121829</v>
      </c>
      <c r="O395">
        <v>0.46889999999999998</v>
      </c>
      <c r="P395" s="14">
        <v>382.80499343333202</v>
      </c>
    </row>
    <row r="396" spans="1:16" x14ac:dyDescent="0.35">
      <c r="A396" s="5">
        <v>2017</v>
      </c>
      <c r="B396" s="5">
        <v>42</v>
      </c>
      <c r="C396" s="5" t="s">
        <v>35</v>
      </c>
      <c r="D396" s="5" t="s">
        <v>83</v>
      </c>
      <c r="E396" s="5">
        <v>742</v>
      </c>
      <c r="F396" s="5">
        <v>12945701</v>
      </c>
      <c r="G396" s="5">
        <v>51886</v>
      </c>
      <c r="H396" s="5">
        <f t="shared" si="354"/>
        <v>5.7316324546658386</v>
      </c>
      <c r="I396" s="6">
        <v>2.3499999999999899</v>
      </c>
      <c r="J396" s="5">
        <v>5</v>
      </c>
      <c r="K396">
        <f t="shared" ref="K396" si="387">G396*$V$2/$R$11</f>
        <v>66400.405735966066</v>
      </c>
      <c r="L396" s="10">
        <v>2548</v>
      </c>
      <c r="M396" s="8">
        <f t="shared" si="378"/>
        <v>19.682209561305331</v>
      </c>
      <c r="N396">
        <v>0.48916256157635468</v>
      </c>
      <c r="O396">
        <v>0.47770000000000001</v>
      </c>
      <c r="P396" s="14">
        <v>375.542653822776</v>
      </c>
    </row>
    <row r="397" spans="1:16" x14ac:dyDescent="0.35">
      <c r="A397" s="5">
        <v>2018</v>
      </c>
      <c r="B397" s="5">
        <v>42</v>
      </c>
      <c r="C397" s="5" t="s">
        <v>35</v>
      </c>
      <c r="D397" s="5" t="s">
        <v>83</v>
      </c>
      <c r="E397" s="5">
        <v>784</v>
      </c>
      <c r="F397" s="5">
        <v>12980946</v>
      </c>
      <c r="G397" s="5">
        <v>54468</v>
      </c>
      <c r="H397" s="5">
        <f t="shared" si="354"/>
        <v>6.039621457480834</v>
      </c>
      <c r="I397" s="6">
        <v>2.34</v>
      </c>
      <c r="J397" s="5">
        <v>4.4000000000000004</v>
      </c>
      <c r="K397">
        <f t="shared" ref="K397" si="388">G397*$V$2/$R$12</f>
        <v>68042.75648229639</v>
      </c>
      <c r="L397" s="10">
        <v>2866</v>
      </c>
      <c r="M397" s="8">
        <f t="shared" si="378"/>
        <v>22.078514154515393</v>
      </c>
      <c r="N397">
        <v>0.50893743793445878</v>
      </c>
      <c r="O397">
        <v>0.47470000000000001</v>
      </c>
      <c r="P397" s="14">
        <v>366.69697353555802</v>
      </c>
    </row>
    <row r="398" spans="1:16" x14ac:dyDescent="0.35">
      <c r="A398" s="5">
        <v>2008</v>
      </c>
      <c r="B398" s="5">
        <v>44</v>
      </c>
      <c r="C398" s="5" t="s">
        <v>36</v>
      </c>
      <c r="D398" s="5" t="s">
        <v>84</v>
      </c>
      <c r="E398" s="5">
        <v>31</v>
      </c>
      <c r="F398" s="5">
        <v>1055003</v>
      </c>
      <c r="G398" s="5">
        <v>41487</v>
      </c>
      <c r="H398" s="5">
        <f t="shared" si="354"/>
        <v>2.9383802700087109</v>
      </c>
      <c r="I398" s="6">
        <v>2.46</v>
      </c>
      <c r="J398" s="5">
        <v>7.6000000000000005</v>
      </c>
      <c r="K398">
        <f t="shared" ref="K398" si="389">G398*$V$2/$R$2</f>
        <v>60445.119403816956</v>
      </c>
      <c r="L398" s="10">
        <v>133</v>
      </c>
      <c r="M398" s="8">
        <f t="shared" si="378"/>
        <v>12.606599222940597</v>
      </c>
      <c r="N398">
        <v>0.20909090909090908</v>
      </c>
      <c r="O398">
        <v>0.46</v>
      </c>
      <c r="P398" s="14">
        <v>239.39</v>
      </c>
    </row>
    <row r="399" spans="1:16" x14ac:dyDescent="0.35">
      <c r="A399" s="5">
        <v>2009</v>
      </c>
      <c r="B399" s="5">
        <v>44</v>
      </c>
      <c r="C399" s="5" t="s">
        <v>36</v>
      </c>
      <c r="D399" s="5" t="s">
        <v>84</v>
      </c>
      <c r="E399" s="5">
        <v>32</v>
      </c>
      <c r="F399" s="5">
        <v>1053646</v>
      </c>
      <c r="G399" s="5">
        <v>40588</v>
      </c>
      <c r="H399" s="5">
        <f t="shared" si="354"/>
        <v>3.0370731725835811</v>
      </c>
      <c r="I399" s="6">
        <v>2.46999999999999</v>
      </c>
      <c r="J399" s="5">
        <v>11.4</v>
      </c>
      <c r="K399">
        <f t="shared" ref="K399" si="390">G399*$V$2/$R$3</f>
        <v>59346.449013456891</v>
      </c>
      <c r="L399" s="10">
        <v>115</v>
      </c>
      <c r="M399" s="8">
        <f t="shared" si="378"/>
        <v>10.914481713972245</v>
      </c>
      <c r="N399">
        <v>0.33898305084745761</v>
      </c>
      <c r="O399">
        <v>0.45700000000000002</v>
      </c>
      <c r="P399" s="14">
        <v>210.78</v>
      </c>
    </row>
    <row r="400" spans="1:16" x14ac:dyDescent="0.35">
      <c r="A400" s="5">
        <v>2010</v>
      </c>
      <c r="B400" s="5">
        <v>44</v>
      </c>
      <c r="C400" s="5" t="s">
        <v>36</v>
      </c>
      <c r="D400" s="5" t="s">
        <v>84</v>
      </c>
      <c r="E400" s="5">
        <v>29</v>
      </c>
      <c r="F400" s="5">
        <v>1054975</v>
      </c>
      <c r="G400" s="5">
        <v>42630</v>
      </c>
      <c r="H400" s="5">
        <f t="shared" si="354"/>
        <v>2.7488803052205029</v>
      </c>
      <c r="I400" s="6">
        <v>2.54</v>
      </c>
      <c r="J400" s="5">
        <v>11.600000000000001</v>
      </c>
      <c r="K400">
        <f t="shared" ref="K400" si="391">G400*$V$2/$R$4</f>
        <v>61326.274305682942</v>
      </c>
      <c r="L400" s="10">
        <v>111</v>
      </c>
      <c r="M400" s="8">
        <f t="shared" si="378"/>
        <v>10.521576340671579</v>
      </c>
      <c r="N400">
        <v>0.23255813953488372</v>
      </c>
      <c r="O400">
        <v>0.46700000000000003</v>
      </c>
      <c r="P400" s="14">
        <v>198.19</v>
      </c>
    </row>
    <row r="401" spans="1:16" x14ac:dyDescent="0.35">
      <c r="A401" s="5">
        <v>2011</v>
      </c>
      <c r="B401" s="5">
        <v>44</v>
      </c>
      <c r="C401" s="5" t="s">
        <v>36</v>
      </c>
      <c r="D401" s="5" t="s">
        <v>84</v>
      </c>
      <c r="E401" s="5">
        <v>20</v>
      </c>
      <c r="F401" s="5">
        <v>1058746</v>
      </c>
      <c r="G401" s="5">
        <v>44095</v>
      </c>
      <c r="H401" s="5">
        <f t="shared" si="354"/>
        <v>1.8890272076588721</v>
      </c>
      <c r="I401" s="6">
        <v>2.5499999999999998</v>
      </c>
      <c r="J401" s="5">
        <v>11</v>
      </c>
      <c r="K401">
        <f t="shared" ref="K401" si="392">G401*$V$2/$R$5</f>
        <v>61492.744499619897</v>
      </c>
      <c r="L401" s="10">
        <v>142</v>
      </c>
      <c r="M401" s="8">
        <f t="shared" si="378"/>
        <v>13.412093174377992</v>
      </c>
      <c r="N401">
        <f>20/101</f>
        <v>0.19801980198019803</v>
      </c>
      <c r="O401">
        <v>0.46739999999999998</v>
      </c>
      <c r="P401" s="14">
        <v>196.541254627999</v>
      </c>
    </row>
    <row r="402" spans="1:16" x14ac:dyDescent="0.35">
      <c r="A402" s="5">
        <v>2012</v>
      </c>
      <c r="B402" s="5">
        <v>44</v>
      </c>
      <c r="C402" s="5" t="s">
        <v>36</v>
      </c>
      <c r="D402" s="5" t="s">
        <v>84</v>
      </c>
      <c r="E402" s="5">
        <v>26</v>
      </c>
      <c r="F402" s="5">
        <v>1063756</v>
      </c>
      <c r="G402" s="5">
        <v>45298</v>
      </c>
      <c r="H402" s="5">
        <f t="shared" si="354"/>
        <v>2.4441695275984343</v>
      </c>
      <c r="I402" s="6">
        <v>2.58</v>
      </c>
      <c r="J402" s="5">
        <v>10.200000000000001</v>
      </c>
      <c r="K402">
        <f t="shared" ref="K402" si="393">G402*$V$2/$R$6</f>
        <v>61889.615242558604</v>
      </c>
      <c r="L402" s="10">
        <v>140</v>
      </c>
      <c r="M402" s="8">
        <f t="shared" si="378"/>
        <v>13.160912840914646</v>
      </c>
      <c r="N402">
        <v>0.24761904761904763</v>
      </c>
      <c r="O402">
        <v>0.4647</v>
      </c>
      <c r="P402" s="14">
        <v>190.14842801754801</v>
      </c>
    </row>
    <row r="403" spans="1:16" x14ac:dyDescent="0.35">
      <c r="A403" s="5">
        <v>2013</v>
      </c>
      <c r="B403" s="5">
        <v>44</v>
      </c>
      <c r="C403" s="5" t="s">
        <v>36</v>
      </c>
      <c r="D403" s="5" t="s">
        <v>84</v>
      </c>
      <c r="E403" s="5">
        <v>31</v>
      </c>
      <c r="F403" s="5">
        <v>1068358</v>
      </c>
      <c r="G403" s="5">
        <v>45104</v>
      </c>
      <c r="H403" s="5">
        <f t="shared" si="354"/>
        <v>2.9016490726891173</v>
      </c>
      <c r="I403" s="6">
        <v>2.56</v>
      </c>
      <c r="J403" s="5">
        <v>9.5</v>
      </c>
      <c r="K403">
        <f t="shared" ref="K403" si="394">G403*$V$2/$R$7</f>
        <v>60734.936730812988</v>
      </c>
      <c r="L403" s="10">
        <v>190</v>
      </c>
      <c r="M403" s="8">
        <f t="shared" si="378"/>
        <v>17.784300768094589</v>
      </c>
      <c r="N403">
        <v>0.25757575757575757</v>
      </c>
      <c r="O403">
        <v>0.47689999999999999</v>
      </c>
      <c r="P403" s="14">
        <v>193.371318452878</v>
      </c>
    </row>
    <row r="404" spans="1:16" x14ac:dyDescent="0.35">
      <c r="A404" s="5">
        <v>2014</v>
      </c>
      <c r="B404" s="5">
        <v>44</v>
      </c>
      <c r="C404" s="5" t="s">
        <v>36</v>
      </c>
      <c r="D404" s="5" t="s">
        <v>84</v>
      </c>
      <c r="E404" s="5">
        <v>26</v>
      </c>
      <c r="F404" s="5">
        <v>1073245</v>
      </c>
      <c r="G404" s="5">
        <v>46630</v>
      </c>
      <c r="H404" s="5">
        <f t="shared" si="354"/>
        <v>2.4225596205898934</v>
      </c>
      <c r="I404" s="6">
        <v>2.3899999999999899</v>
      </c>
      <c r="J404" s="5">
        <v>7.8000000000000007</v>
      </c>
      <c r="K404">
        <f t="shared" ref="K404" si="395">G404*$V$2/$R$8</f>
        <v>61787.468192416876</v>
      </c>
      <c r="L404" s="10">
        <v>205</v>
      </c>
      <c r="M404" s="8">
        <f t="shared" si="378"/>
        <v>19.100950854651082</v>
      </c>
      <c r="N404">
        <f>20/113</f>
        <v>0.17699115044247787</v>
      </c>
      <c r="O404">
        <v>0.48270000000000002</v>
      </c>
      <c r="P404" s="14">
        <v>178.03839568465199</v>
      </c>
    </row>
    <row r="405" spans="1:16" x14ac:dyDescent="0.35">
      <c r="A405" s="5">
        <v>2015</v>
      </c>
      <c r="B405" s="5">
        <v>44</v>
      </c>
      <c r="C405" s="5" t="s">
        <v>36</v>
      </c>
      <c r="D405" s="5" t="s">
        <v>84</v>
      </c>
      <c r="E405" s="5">
        <v>31</v>
      </c>
      <c r="F405" s="5">
        <v>1077555</v>
      </c>
      <c r="G405" s="5">
        <v>48049</v>
      </c>
      <c r="H405" s="5">
        <f t="shared" si="354"/>
        <v>2.8768833145407893</v>
      </c>
      <c r="I405" s="6">
        <v>2.52</v>
      </c>
      <c r="J405" s="5">
        <v>6</v>
      </c>
      <c r="K405">
        <f t="shared" ref="K405" si="396">G405*$V$2/$R$9</f>
        <v>63592.243429796181</v>
      </c>
      <c r="L405" s="10">
        <v>254</v>
      </c>
      <c r="M405" s="8">
        <f t="shared" si="378"/>
        <v>23.571882641721302</v>
      </c>
      <c r="N405">
        <v>0.31496062992125984</v>
      </c>
      <c r="O405">
        <v>0.47320000000000001</v>
      </c>
      <c r="P405" s="14">
        <v>204.14192219124999</v>
      </c>
    </row>
    <row r="406" spans="1:16" x14ac:dyDescent="0.35">
      <c r="A406" s="5">
        <v>2016</v>
      </c>
      <c r="B406" s="5">
        <v>44</v>
      </c>
      <c r="C406" s="5" t="s">
        <v>36</v>
      </c>
      <c r="D406" s="5" t="s">
        <v>84</v>
      </c>
      <c r="E406" s="5">
        <v>29</v>
      </c>
      <c r="F406" s="5">
        <v>1082431</v>
      </c>
      <c r="G406" s="5">
        <v>48515</v>
      </c>
      <c r="H406" s="5">
        <f t="shared" si="354"/>
        <v>2.679154606621577</v>
      </c>
      <c r="I406" s="6">
        <v>2.57</v>
      </c>
      <c r="J406" s="5">
        <v>5.2</v>
      </c>
      <c r="K406">
        <f t="shared" ref="K406" si="397">G406*$V$2/$R$10</f>
        <v>63409.074881149303</v>
      </c>
      <c r="L406" s="10">
        <v>279</v>
      </c>
      <c r="M406" s="8">
        <f t="shared" si="378"/>
        <v>25.77531500853172</v>
      </c>
      <c r="N406">
        <v>0.27777777777777779</v>
      </c>
      <c r="O406">
        <v>0.47810000000000002</v>
      </c>
      <c r="P406" s="14">
        <v>191.71163547968499</v>
      </c>
    </row>
    <row r="407" spans="1:16" x14ac:dyDescent="0.35">
      <c r="A407" s="5">
        <v>2017</v>
      </c>
      <c r="B407" s="5">
        <v>44</v>
      </c>
      <c r="C407" s="5" t="s">
        <v>36</v>
      </c>
      <c r="D407" s="5" t="s">
        <v>84</v>
      </c>
      <c r="E407" s="5">
        <v>21</v>
      </c>
      <c r="F407" s="5">
        <v>1085105</v>
      </c>
      <c r="G407" s="5">
        <v>50414</v>
      </c>
      <c r="H407" s="5">
        <f t="shared" si="354"/>
        <v>1.9352965842015291</v>
      </c>
      <c r="I407" s="6">
        <v>2.6</v>
      </c>
      <c r="J407" s="5">
        <v>4.5</v>
      </c>
      <c r="K407">
        <f t="shared" ref="K407" si="398">G407*$V$2/$R$11</f>
        <v>64516.633673302873</v>
      </c>
      <c r="L407" s="10">
        <v>277</v>
      </c>
      <c r="M407" s="8">
        <f t="shared" si="378"/>
        <v>25.527483515420165</v>
      </c>
      <c r="N407">
        <v>0.2558139534883721</v>
      </c>
      <c r="O407">
        <v>0.47220000000000001</v>
      </c>
      <c r="P407" s="14">
        <v>171.04108013198899</v>
      </c>
    </row>
    <row r="408" spans="1:16" x14ac:dyDescent="0.35">
      <c r="A408" s="5">
        <v>2018</v>
      </c>
      <c r="B408" s="5">
        <v>44</v>
      </c>
      <c r="C408" s="5" t="s">
        <v>36</v>
      </c>
      <c r="D408" s="5" t="s">
        <v>84</v>
      </c>
      <c r="E408" s="5">
        <v>16</v>
      </c>
      <c r="F408" s="5">
        <v>1091824</v>
      </c>
      <c r="G408" s="5">
        <v>52132</v>
      </c>
      <c r="H408" s="5">
        <f t="shared" si="354"/>
        <v>1.465437652955055</v>
      </c>
      <c r="I408" s="6">
        <v>2.63</v>
      </c>
      <c r="J408" s="5">
        <v>4</v>
      </c>
      <c r="K408">
        <f t="shared" ref="K408" si="399">G408*$V$2/$R$12</f>
        <v>65124.568203992727</v>
      </c>
      <c r="L408" s="10">
        <v>267</v>
      </c>
      <c r="M408" s="8">
        <f t="shared" si="378"/>
        <v>24.45449083368748</v>
      </c>
      <c r="N408">
        <v>0.21698113207547171</v>
      </c>
      <c r="O408">
        <v>0.47</v>
      </c>
      <c r="P408" s="14">
        <v>157.78589841647499</v>
      </c>
    </row>
    <row r="409" spans="1:16" x14ac:dyDescent="0.35">
      <c r="A409" s="5">
        <v>2008</v>
      </c>
      <c r="B409" s="5">
        <v>45</v>
      </c>
      <c r="C409" s="5" t="s">
        <v>37</v>
      </c>
      <c r="D409" s="5" t="s">
        <v>85</v>
      </c>
      <c r="E409" s="5">
        <v>307</v>
      </c>
      <c r="F409" s="5">
        <v>4528996</v>
      </c>
      <c r="G409" s="5">
        <v>33110</v>
      </c>
      <c r="H409" s="5">
        <f t="shared" si="354"/>
        <v>6.7785442954685768</v>
      </c>
      <c r="I409" s="6">
        <v>2.4</v>
      </c>
      <c r="J409" s="5">
        <v>7.3000000000000007</v>
      </c>
      <c r="K409">
        <f t="shared" ref="K409" si="400">G409*$V$2/$R$2</f>
        <v>48240.12108516835</v>
      </c>
      <c r="L409" s="10">
        <v>218</v>
      </c>
      <c r="M409" s="8">
        <f t="shared" si="378"/>
        <v>4.8134288482480443</v>
      </c>
      <c r="N409">
        <v>0.60707964601769915</v>
      </c>
      <c r="O409">
        <v>0.46400000000000002</v>
      </c>
      <c r="P409" s="14">
        <v>520.86</v>
      </c>
    </row>
    <row r="410" spans="1:16" x14ac:dyDescent="0.35">
      <c r="A410" s="5">
        <v>2009</v>
      </c>
      <c r="B410" s="5">
        <v>45</v>
      </c>
      <c r="C410" s="5" t="s">
        <v>37</v>
      </c>
      <c r="D410" s="5" t="s">
        <v>85</v>
      </c>
      <c r="E410" s="5">
        <v>305</v>
      </c>
      <c r="F410" s="5">
        <v>4589872</v>
      </c>
      <c r="G410" s="5">
        <v>31973</v>
      </c>
      <c r="H410" s="5">
        <f t="shared" si="354"/>
        <v>6.6450654833075946</v>
      </c>
      <c r="I410" s="6">
        <v>2.34</v>
      </c>
      <c r="J410" s="5">
        <v>11.4</v>
      </c>
      <c r="K410">
        <f t="shared" ref="K410" si="401">G410*$V$2/$R$3</f>
        <v>46749.877163379744</v>
      </c>
      <c r="L410" s="10">
        <v>238</v>
      </c>
      <c r="M410" s="8">
        <f t="shared" si="378"/>
        <v>5.1853297869744512</v>
      </c>
      <c r="N410">
        <v>0.60904684975767365</v>
      </c>
      <c r="O410">
        <v>0.46200000000000002</v>
      </c>
      <c r="P410" s="14">
        <v>514.9</v>
      </c>
    </row>
    <row r="411" spans="1:16" x14ac:dyDescent="0.35">
      <c r="A411" s="5">
        <v>2010</v>
      </c>
      <c r="B411" s="5">
        <v>45</v>
      </c>
      <c r="C411" s="5" t="s">
        <v>37</v>
      </c>
      <c r="D411" s="5" t="s">
        <v>85</v>
      </c>
      <c r="E411" s="5">
        <v>265</v>
      </c>
      <c r="F411" s="5">
        <v>4633669</v>
      </c>
      <c r="G411" s="5">
        <v>32749</v>
      </c>
      <c r="H411" s="5">
        <f t="shared" si="354"/>
        <v>5.7190101407761329</v>
      </c>
      <c r="I411" s="6">
        <v>2.3099999999999898</v>
      </c>
      <c r="J411" s="5">
        <v>11.3</v>
      </c>
      <c r="K411">
        <f t="shared" ref="K411" si="402">G411*$V$2/$R$4</f>
        <v>47111.755975529224</v>
      </c>
      <c r="L411" s="10">
        <v>271</v>
      </c>
      <c r="M411" s="8">
        <f t="shared" si="378"/>
        <v>5.8484971628314408</v>
      </c>
      <c r="N411">
        <v>0.61538461538461542</v>
      </c>
      <c r="O411">
        <v>0.46100000000000002</v>
      </c>
      <c r="P411" s="14">
        <v>492.16</v>
      </c>
    </row>
    <row r="412" spans="1:16" x14ac:dyDescent="0.35">
      <c r="A412" s="5">
        <v>2011</v>
      </c>
      <c r="B412" s="5">
        <v>45</v>
      </c>
      <c r="C412" s="5" t="s">
        <v>37</v>
      </c>
      <c r="D412" s="5" t="s">
        <v>85</v>
      </c>
      <c r="E412" s="5">
        <v>320</v>
      </c>
      <c r="F412" s="5">
        <v>4661744</v>
      </c>
      <c r="G412" s="5">
        <v>34406</v>
      </c>
      <c r="H412" s="5">
        <f t="shared" si="354"/>
        <v>6.8643838014271052</v>
      </c>
      <c r="I412" s="6">
        <v>2.3099999999999898</v>
      </c>
      <c r="J412" s="5">
        <v>10.4</v>
      </c>
      <c r="K412">
        <f t="shared" ref="K412" si="403">G412*$V$2/$R$5</f>
        <v>47980.935871502945</v>
      </c>
      <c r="L412" s="10">
        <v>243</v>
      </c>
      <c r="M412" s="8">
        <f t="shared" si="378"/>
        <v>5.2126414492087081</v>
      </c>
      <c r="N412">
        <v>0.64741641337386013</v>
      </c>
      <c r="O412">
        <v>0.46479999999999999</v>
      </c>
      <c r="P412" s="14">
        <v>473.08050028693702</v>
      </c>
    </row>
    <row r="413" spans="1:16" x14ac:dyDescent="0.35">
      <c r="A413" s="5">
        <v>2012</v>
      </c>
      <c r="B413" s="5">
        <v>45</v>
      </c>
      <c r="C413" s="5" t="s">
        <v>37</v>
      </c>
      <c r="D413" s="5" t="s">
        <v>85</v>
      </c>
      <c r="E413" s="5">
        <v>332</v>
      </c>
      <c r="F413" s="5">
        <v>4699358</v>
      </c>
      <c r="G413" s="5">
        <v>35807</v>
      </c>
      <c r="H413" s="5">
        <f t="shared" si="354"/>
        <v>7.0647948081418779</v>
      </c>
      <c r="I413" s="6">
        <v>2.3199999999999998</v>
      </c>
      <c r="J413" s="5">
        <v>9</v>
      </c>
      <c r="K413">
        <f t="shared" ref="K413" si="404">G413*$V$2/$R$6</f>
        <v>48922.280299136735</v>
      </c>
      <c r="L413" s="10">
        <v>237</v>
      </c>
      <c r="M413" s="8">
        <f t="shared" si="378"/>
        <v>5.043242076896461</v>
      </c>
      <c r="N413">
        <v>0.64338781575037152</v>
      </c>
      <c r="O413">
        <v>0.46839999999999998</v>
      </c>
      <c r="P413" s="14">
        <v>457.95518215549401</v>
      </c>
    </row>
    <row r="414" spans="1:16" x14ac:dyDescent="0.35">
      <c r="A414" s="5">
        <v>2013</v>
      </c>
      <c r="B414" s="5">
        <v>45</v>
      </c>
      <c r="C414" s="5" t="s">
        <v>37</v>
      </c>
      <c r="D414" s="5" t="s">
        <v>85</v>
      </c>
      <c r="E414" s="5">
        <v>305</v>
      </c>
      <c r="F414" s="5">
        <v>4738067</v>
      </c>
      <c r="G414" s="5">
        <v>35923</v>
      </c>
      <c r="H414" s="5">
        <f t="shared" si="354"/>
        <v>6.43722429421112</v>
      </c>
      <c r="I414" s="6">
        <v>2.3099999999999898</v>
      </c>
      <c r="J414" s="5">
        <v>7.4</v>
      </c>
      <c r="K414">
        <f t="shared" ref="K414" si="405">G414*$V$2/$R$7</f>
        <v>48372.231557755294</v>
      </c>
      <c r="L414" s="10">
        <v>247</v>
      </c>
      <c r="M414" s="8">
        <f t="shared" si="378"/>
        <v>5.2130963956398251</v>
      </c>
      <c r="N414">
        <v>0.67528735632183912</v>
      </c>
      <c r="O414">
        <v>0.46650000000000003</v>
      </c>
      <c r="P414" s="14">
        <v>446.40570853036098</v>
      </c>
    </row>
    <row r="415" spans="1:16" x14ac:dyDescent="0.35">
      <c r="A415" s="5">
        <v>2014</v>
      </c>
      <c r="B415" s="5">
        <v>45</v>
      </c>
      <c r="C415" s="5" t="s">
        <v>37</v>
      </c>
      <c r="D415" s="5" t="s">
        <v>85</v>
      </c>
      <c r="E415" s="5">
        <v>322</v>
      </c>
      <c r="F415" s="5">
        <v>4789723</v>
      </c>
      <c r="G415" s="5">
        <v>37755</v>
      </c>
      <c r="H415" s="5">
        <f t="shared" si="354"/>
        <v>6.7227269718937812</v>
      </c>
      <c r="I415" s="6">
        <v>2.2799999999999998</v>
      </c>
      <c r="J415" s="5">
        <v>6.3000000000000007</v>
      </c>
      <c r="K415">
        <f t="shared" ref="K415" si="406">G415*$V$2/$R$8</f>
        <v>50027.575843978106</v>
      </c>
      <c r="L415" s="10">
        <v>515</v>
      </c>
      <c r="M415" s="8">
        <f t="shared" si="378"/>
        <v>10.752187548215209</v>
      </c>
      <c r="N415">
        <v>0.63612217795484727</v>
      </c>
      <c r="O415">
        <v>0.46870000000000001</v>
      </c>
      <c r="P415" s="14">
        <v>428.18620488062402</v>
      </c>
    </row>
    <row r="416" spans="1:16" x14ac:dyDescent="0.35">
      <c r="A416" s="5">
        <v>2015</v>
      </c>
      <c r="B416" s="5">
        <v>45</v>
      </c>
      <c r="C416" s="5" t="s">
        <v>37</v>
      </c>
      <c r="D416" s="5" t="s">
        <v>85</v>
      </c>
      <c r="E416" s="5">
        <v>407</v>
      </c>
      <c r="F416" s="5">
        <v>4850136</v>
      </c>
      <c r="G416" s="5">
        <v>39598</v>
      </c>
      <c r="H416" s="5">
        <f t="shared" si="354"/>
        <v>8.3915172687941126</v>
      </c>
      <c r="I416" s="6">
        <v>2.25</v>
      </c>
      <c r="J416" s="5">
        <v>5.9</v>
      </c>
      <c r="K416">
        <f t="shared" ref="K416" si="407">G416*$V$2/$R$9</f>
        <v>52407.451878979155</v>
      </c>
      <c r="L416" s="10">
        <v>554</v>
      </c>
      <c r="M416" s="8">
        <f t="shared" si="378"/>
        <v>11.422360115262746</v>
      </c>
      <c r="N416">
        <v>0.63207547169811318</v>
      </c>
      <c r="O416">
        <v>0.4698</v>
      </c>
      <c r="P416" s="14">
        <v>413.73220862231602</v>
      </c>
    </row>
    <row r="417" spans="1:16" x14ac:dyDescent="0.35">
      <c r="A417" s="5">
        <v>2016</v>
      </c>
      <c r="B417" s="5">
        <v>45</v>
      </c>
      <c r="C417" s="5" t="s">
        <v>37</v>
      </c>
      <c r="D417" s="5" t="s">
        <v>85</v>
      </c>
      <c r="E417" s="5">
        <v>358</v>
      </c>
      <c r="F417" s="5">
        <v>4908404</v>
      </c>
      <c r="G417" s="5">
        <v>40752</v>
      </c>
      <c r="H417" s="5">
        <f t="shared" si="354"/>
        <v>7.2936131581670942</v>
      </c>
      <c r="I417" s="6">
        <v>2.23</v>
      </c>
      <c r="J417" s="5">
        <v>4.9000000000000004</v>
      </c>
      <c r="K417">
        <f t="shared" ref="K417" si="408">G417*$V$2/$R$10</f>
        <v>53262.838700537905</v>
      </c>
      <c r="L417" s="10">
        <v>628</v>
      </c>
      <c r="M417" s="8">
        <f t="shared" si="378"/>
        <v>12.794382858460715</v>
      </c>
      <c r="N417">
        <v>0.64417177914110424</v>
      </c>
      <c r="O417">
        <v>0.47349999999999998</v>
      </c>
      <c r="P417" s="14">
        <v>407.93399683601302</v>
      </c>
    </row>
    <row r="418" spans="1:16" x14ac:dyDescent="0.35">
      <c r="A418" s="5">
        <v>2017</v>
      </c>
      <c r="B418" s="5">
        <v>45</v>
      </c>
      <c r="C418" s="5" t="s">
        <v>37</v>
      </c>
      <c r="D418" s="5" t="s">
        <v>85</v>
      </c>
      <c r="E418" s="5">
        <v>380</v>
      </c>
      <c r="F418" s="5">
        <v>4963742</v>
      </c>
      <c r="G418" s="5">
        <v>42385</v>
      </c>
      <c r="H418" s="5">
        <f t="shared" si="354"/>
        <v>7.6555147306205686</v>
      </c>
      <c r="I418" s="6">
        <v>2.19</v>
      </c>
      <c r="J418" s="5">
        <v>4.2</v>
      </c>
      <c r="K418">
        <f t="shared" ref="K418" si="409">G418*$V$2/$R$11</f>
        <v>54241.629671181465</v>
      </c>
      <c r="L418" s="10">
        <v>749</v>
      </c>
      <c r="M418" s="8">
        <f t="shared" si="378"/>
        <v>15.089422455881067</v>
      </c>
      <c r="N418">
        <v>0.63365155131264916</v>
      </c>
      <c r="O418">
        <v>0.47949999999999998</v>
      </c>
      <c r="P418" s="14">
        <v>386.66375133688001</v>
      </c>
    </row>
    <row r="419" spans="1:16" x14ac:dyDescent="0.35">
      <c r="A419" s="5">
        <v>2018</v>
      </c>
      <c r="B419" s="5">
        <v>45</v>
      </c>
      <c r="C419" s="5" t="s">
        <v>37</v>
      </c>
      <c r="D419" s="5" t="s">
        <v>85</v>
      </c>
      <c r="E419" s="5">
        <v>411</v>
      </c>
      <c r="F419" s="5">
        <v>5019607</v>
      </c>
      <c r="G419" s="5">
        <v>43817</v>
      </c>
      <c r="H419" s="5">
        <f t="shared" si="354"/>
        <v>8.1878920003099847</v>
      </c>
      <c r="I419" s="6">
        <v>2.16</v>
      </c>
      <c r="J419" s="5">
        <v>3.4000000000000004</v>
      </c>
      <c r="K419">
        <f t="shared" ref="K419" si="410">G419*$V$2/$R$12</f>
        <v>54737.267033575328</v>
      </c>
      <c r="L419" s="10">
        <v>835</v>
      </c>
      <c r="M419" s="8">
        <f t="shared" si="378"/>
        <v>16.634768419121258</v>
      </c>
      <c r="N419">
        <v>0.60789149198520342</v>
      </c>
      <c r="O419">
        <v>0.47620000000000001</v>
      </c>
      <c r="P419" s="14">
        <v>365.62542620802702</v>
      </c>
    </row>
    <row r="420" spans="1:16" x14ac:dyDescent="0.35">
      <c r="A420" s="5">
        <v>2008</v>
      </c>
      <c r="B420" s="5">
        <v>46</v>
      </c>
      <c r="C420" s="5" t="s">
        <v>38</v>
      </c>
      <c r="D420" s="5" t="s">
        <v>86</v>
      </c>
      <c r="E420" s="5">
        <v>37</v>
      </c>
      <c r="F420" s="5">
        <v>799124</v>
      </c>
      <c r="G420" s="5">
        <v>40891</v>
      </c>
      <c r="H420" s="5">
        <f t="shared" si="354"/>
        <v>4.6300699265695942</v>
      </c>
      <c r="I420" s="6">
        <v>2.66</v>
      </c>
      <c r="J420" s="5">
        <v>3.1</v>
      </c>
      <c r="K420">
        <f t="shared" ref="K420" si="411">G420*$V$2/$R$2</f>
        <v>59576.768084977914</v>
      </c>
      <c r="L420" s="10">
        <v>31</v>
      </c>
      <c r="M420" s="8">
        <f t="shared" si="378"/>
        <v>3.8792477763150655</v>
      </c>
      <c r="N420">
        <v>0.54838709677419351</v>
      </c>
      <c r="O420">
        <v>0.44600000000000001</v>
      </c>
      <c r="P420" s="14">
        <v>414.28</v>
      </c>
    </row>
    <row r="421" spans="1:16" x14ac:dyDescent="0.35">
      <c r="A421" s="5">
        <v>2009</v>
      </c>
      <c r="B421" s="5">
        <v>46</v>
      </c>
      <c r="C421" s="5" t="s">
        <v>38</v>
      </c>
      <c r="D421" s="5" t="s">
        <v>86</v>
      </c>
      <c r="E421" s="5">
        <v>30</v>
      </c>
      <c r="F421" s="5">
        <v>807067</v>
      </c>
      <c r="G421" s="5">
        <v>39435</v>
      </c>
      <c r="H421" s="5">
        <f t="shared" si="354"/>
        <v>3.7171635068711764</v>
      </c>
      <c r="I421" s="6">
        <v>2.65</v>
      </c>
      <c r="J421" s="5">
        <v>4.6000000000000005</v>
      </c>
      <c r="K421">
        <f t="shared" ref="K421" si="412">G421*$V$2/$R$3</f>
        <v>57660.570041531304</v>
      </c>
      <c r="L421" s="10">
        <v>35</v>
      </c>
      <c r="M421" s="8">
        <f t="shared" si="378"/>
        <v>4.3366907580163732</v>
      </c>
      <c r="N421">
        <v>0.47286821705426357</v>
      </c>
      <c r="O421">
        <v>0.45200000000000001</v>
      </c>
      <c r="P421" s="14">
        <v>422.21</v>
      </c>
    </row>
    <row r="422" spans="1:16" x14ac:dyDescent="0.35">
      <c r="A422" s="5">
        <v>2010</v>
      </c>
      <c r="B422" s="5">
        <v>46</v>
      </c>
      <c r="C422" s="5" t="s">
        <v>38</v>
      </c>
      <c r="D422" s="5" t="s">
        <v>86</v>
      </c>
      <c r="E422" s="5">
        <v>23</v>
      </c>
      <c r="F422" s="5">
        <v>816068</v>
      </c>
      <c r="G422" s="5">
        <v>41275</v>
      </c>
      <c r="H422" s="5">
        <f t="shared" si="354"/>
        <v>2.8183925849316478</v>
      </c>
      <c r="I422" s="6">
        <v>2.69</v>
      </c>
      <c r="J422" s="5">
        <v>4.9000000000000004</v>
      </c>
      <c r="K422">
        <f t="shared" ref="K422" si="413">G422*$V$2/$R$4</f>
        <v>59377.010836665817</v>
      </c>
      <c r="L422" s="10">
        <v>32</v>
      </c>
      <c r="M422" s="8">
        <f t="shared" si="378"/>
        <v>3.9212418572962053</v>
      </c>
      <c r="N422">
        <v>0.4642857142857143</v>
      </c>
      <c r="O422">
        <v>0.442</v>
      </c>
      <c r="P422" s="14">
        <v>420.16</v>
      </c>
    </row>
    <row r="423" spans="1:16" x14ac:dyDescent="0.35">
      <c r="A423" s="5">
        <v>2011</v>
      </c>
      <c r="B423" s="5">
        <v>46</v>
      </c>
      <c r="C423" s="5" t="s">
        <v>38</v>
      </c>
      <c r="D423" s="5" t="s">
        <v>86</v>
      </c>
      <c r="E423" s="5">
        <v>20</v>
      </c>
      <c r="F423" s="5">
        <v>823113</v>
      </c>
      <c r="G423" s="5">
        <v>44532</v>
      </c>
      <c r="H423" s="5">
        <f t="shared" si="354"/>
        <v>2.4298000396057406</v>
      </c>
      <c r="I423" s="6">
        <v>2.77</v>
      </c>
      <c r="J423" s="5">
        <v>4.6000000000000005</v>
      </c>
      <c r="K423">
        <f t="shared" ref="K423" si="414">G423*$V$2/$R$5</f>
        <v>62102.163466539823</v>
      </c>
      <c r="L423" s="10">
        <v>34</v>
      </c>
      <c r="M423" s="8">
        <f t="shared" si="378"/>
        <v>4.1306600673297584</v>
      </c>
      <c r="N423">
        <v>0.46875</v>
      </c>
      <c r="O423">
        <v>0.43240000000000001</v>
      </c>
      <c r="P423" s="14">
        <v>426.02030656566001</v>
      </c>
    </row>
    <row r="424" spans="1:16" x14ac:dyDescent="0.35">
      <c r="A424" s="5">
        <v>2012</v>
      </c>
      <c r="B424" s="5">
        <v>46</v>
      </c>
      <c r="C424" s="5" t="s">
        <v>38</v>
      </c>
      <c r="D424" s="5" t="s">
        <v>86</v>
      </c>
      <c r="E424" s="5">
        <v>23</v>
      </c>
      <c r="F424" s="5">
        <v>832730</v>
      </c>
      <c r="G424" s="5">
        <v>44996</v>
      </c>
      <c r="H424" s="5">
        <f t="shared" si="354"/>
        <v>2.7619996877739483</v>
      </c>
      <c r="I424" s="6">
        <v>2.76</v>
      </c>
      <c r="J424" s="5">
        <v>4.1000000000000005</v>
      </c>
      <c r="K424">
        <f t="shared" ref="K424" si="415">G424*$V$2/$R$6</f>
        <v>61476.999590581639</v>
      </c>
      <c r="L424" s="10">
        <v>24</v>
      </c>
      <c r="M424" s="8">
        <f t="shared" si="378"/>
        <v>2.8820866307206416</v>
      </c>
      <c r="N424">
        <v>0.53900709219858156</v>
      </c>
      <c r="O424">
        <v>0.4335</v>
      </c>
      <c r="P424" s="14">
        <v>434.49592391790401</v>
      </c>
    </row>
    <row r="425" spans="1:16" x14ac:dyDescent="0.35">
      <c r="A425" s="5">
        <v>2013</v>
      </c>
      <c r="B425" s="5">
        <v>46</v>
      </c>
      <c r="C425" s="5" t="s">
        <v>38</v>
      </c>
      <c r="D425" s="5" t="s">
        <v>86</v>
      </c>
      <c r="E425" s="5">
        <v>18</v>
      </c>
      <c r="F425" s="5">
        <v>841120</v>
      </c>
      <c r="G425" s="5">
        <v>44988</v>
      </c>
      <c r="H425" s="5">
        <f t="shared" si="354"/>
        <v>2.140003804451208</v>
      </c>
      <c r="I425" s="6">
        <v>2.82</v>
      </c>
      <c r="J425" s="5">
        <v>3.7</v>
      </c>
      <c r="K425">
        <f t="shared" ref="K425" si="416">G425*$V$2/$R$7</f>
        <v>60578.736556531898</v>
      </c>
      <c r="L425" s="10">
        <v>34</v>
      </c>
      <c r="M425" s="8">
        <f t="shared" si="378"/>
        <v>4.0422294084078372</v>
      </c>
      <c r="N425">
        <v>0.48299319727891155</v>
      </c>
      <c r="O425">
        <v>0.44269999999999998</v>
      </c>
      <c r="P425" s="14">
        <v>432.25274072016202</v>
      </c>
    </row>
    <row r="426" spans="1:16" x14ac:dyDescent="0.35">
      <c r="A426" s="5">
        <v>2014</v>
      </c>
      <c r="B426" s="5">
        <v>46</v>
      </c>
      <c r="C426" s="5" t="s">
        <v>38</v>
      </c>
      <c r="D426" s="5" t="s">
        <v>86</v>
      </c>
      <c r="E426" s="5">
        <v>23</v>
      </c>
      <c r="F426" s="5">
        <v>847538</v>
      </c>
      <c r="G426" s="5">
        <v>46732</v>
      </c>
      <c r="H426" s="5">
        <f t="shared" si="354"/>
        <v>2.7137426286490989</v>
      </c>
      <c r="I426" s="6">
        <v>2.75</v>
      </c>
      <c r="J426" s="5">
        <v>3.3000000000000003</v>
      </c>
      <c r="K426">
        <f t="shared" ref="K426" si="417">G426*$V$2/$R$8</f>
        <v>61922.624138280626</v>
      </c>
      <c r="L426" s="10">
        <v>33</v>
      </c>
      <c r="M426" s="8">
        <f t="shared" si="378"/>
        <v>3.8936307280617504</v>
      </c>
      <c r="N426">
        <v>0.53900709219858156</v>
      </c>
      <c r="O426">
        <v>0.44679999999999997</v>
      </c>
      <c r="P426" s="14">
        <v>421.03025695108698</v>
      </c>
    </row>
    <row r="427" spans="1:16" x14ac:dyDescent="0.35">
      <c r="A427" s="5">
        <v>2015</v>
      </c>
      <c r="B427" s="5">
        <v>46</v>
      </c>
      <c r="C427" s="5" t="s">
        <v>38</v>
      </c>
      <c r="D427" s="5" t="s">
        <v>86</v>
      </c>
      <c r="E427" s="5">
        <v>33</v>
      </c>
      <c r="F427" s="5">
        <v>852029</v>
      </c>
      <c r="G427" s="5">
        <v>48308</v>
      </c>
      <c r="H427" s="5">
        <f t="shared" si="354"/>
        <v>3.8731076054923013</v>
      </c>
      <c r="I427" s="6">
        <v>2.8099999999999898</v>
      </c>
      <c r="J427" s="5">
        <v>3</v>
      </c>
      <c r="K427">
        <f t="shared" ref="K427" si="418">G427*$V$2/$R$9</f>
        <v>63935.026652096691</v>
      </c>
      <c r="L427" s="10">
        <v>27</v>
      </c>
      <c r="M427" s="8">
        <f t="shared" si="378"/>
        <v>3.1689062226755191</v>
      </c>
      <c r="N427">
        <v>0.42196531791907516</v>
      </c>
      <c r="O427">
        <v>0.44359999999999999</v>
      </c>
      <c r="P427" s="14">
        <v>412.84962549967202</v>
      </c>
    </row>
    <row r="428" spans="1:16" x14ac:dyDescent="0.35">
      <c r="A428" s="5">
        <v>2016</v>
      </c>
      <c r="B428" s="5">
        <v>46</v>
      </c>
      <c r="C428" s="5" t="s">
        <v>38</v>
      </c>
      <c r="D428" s="5" t="s">
        <v>86</v>
      </c>
      <c r="E428" s="5">
        <v>28</v>
      </c>
      <c r="F428" s="5">
        <v>860557</v>
      </c>
      <c r="G428" s="5">
        <v>48284</v>
      </c>
      <c r="H428" s="5">
        <f t="shared" si="354"/>
        <v>3.2537066109508146</v>
      </c>
      <c r="I428" s="6">
        <v>2.88</v>
      </c>
      <c r="J428" s="5">
        <v>3</v>
      </c>
      <c r="K428">
        <f t="shared" ref="K428" si="419">G428*$V$2/$R$10</f>
        <v>63107.158024557619</v>
      </c>
      <c r="L428" s="10">
        <v>42</v>
      </c>
      <c r="M428" s="8">
        <f t="shared" si="378"/>
        <v>4.8805599164262219</v>
      </c>
      <c r="N428">
        <v>0.51533742331288346</v>
      </c>
      <c r="O428">
        <v>0.44950000000000001</v>
      </c>
      <c r="P428" s="14">
        <v>441.197701614067</v>
      </c>
    </row>
    <row r="429" spans="1:16" x14ac:dyDescent="0.35">
      <c r="A429" s="5">
        <v>2017</v>
      </c>
      <c r="B429" s="5">
        <v>46</v>
      </c>
      <c r="C429" s="5" t="s">
        <v>38</v>
      </c>
      <c r="D429" s="5" t="s">
        <v>86</v>
      </c>
      <c r="E429" s="5">
        <v>27</v>
      </c>
      <c r="F429" s="5">
        <v>870094</v>
      </c>
      <c r="G429" s="5">
        <v>49408</v>
      </c>
      <c r="H429" s="5">
        <f t="shared" ref="H429:H492" si="420">E429/F429*100000</f>
        <v>3.1031129969865323</v>
      </c>
      <c r="I429" s="6">
        <v>2.8499999999999899</v>
      </c>
      <c r="J429" s="5">
        <v>3.1</v>
      </c>
      <c r="K429">
        <f t="shared" ref="K429" si="421">G429*$V$2/$R$11</f>
        <v>63229.218798955619</v>
      </c>
      <c r="L429" s="10">
        <v>35</v>
      </c>
      <c r="M429" s="8">
        <f t="shared" si="378"/>
        <v>4.0225538849825417</v>
      </c>
      <c r="N429">
        <v>0.43455497382198954</v>
      </c>
      <c r="O429">
        <v>0.44879999999999998</v>
      </c>
      <c r="P429" s="14">
        <v>450.97536665242802</v>
      </c>
    </row>
    <row r="430" spans="1:16" x14ac:dyDescent="0.35">
      <c r="A430" s="5">
        <v>2018</v>
      </c>
      <c r="B430" s="5">
        <v>46</v>
      </c>
      <c r="C430" s="5" t="s">
        <v>38</v>
      </c>
      <c r="D430" s="5" t="s">
        <v>86</v>
      </c>
      <c r="E430" s="5">
        <v>12</v>
      </c>
      <c r="F430" s="5">
        <v>875247</v>
      </c>
      <c r="G430" s="5">
        <v>51579</v>
      </c>
      <c r="H430" s="5">
        <f t="shared" si="420"/>
        <v>1.3710415459864473</v>
      </c>
      <c r="I430" s="6">
        <v>2.3699999999999899</v>
      </c>
      <c r="J430" s="5">
        <v>2.8000000000000003</v>
      </c>
      <c r="K430">
        <f t="shared" ref="K430" si="422">G430*$V$2/$R$12</f>
        <v>64433.747091877172</v>
      </c>
      <c r="L430" s="10">
        <v>28</v>
      </c>
      <c r="M430" s="8">
        <f t="shared" si="378"/>
        <v>3.1990969406350436</v>
      </c>
      <c r="N430">
        <v>0.54491017964071853</v>
      </c>
      <c r="O430">
        <v>0.44450000000000001</v>
      </c>
      <c r="P430" s="14">
        <v>447.02088138637703</v>
      </c>
    </row>
    <row r="431" spans="1:16" x14ac:dyDescent="0.35">
      <c r="A431" s="5">
        <v>2008</v>
      </c>
      <c r="B431" s="5">
        <v>47</v>
      </c>
      <c r="C431" s="5" t="s">
        <v>39</v>
      </c>
      <c r="D431" s="5" t="s">
        <v>87</v>
      </c>
      <c r="E431" s="5">
        <v>412</v>
      </c>
      <c r="F431" s="5">
        <v>6247411</v>
      </c>
      <c r="G431" s="5">
        <v>34954</v>
      </c>
      <c r="H431" s="5">
        <f t="shared" si="420"/>
        <v>6.5947318017015375</v>
      </c>
      <c r="I431" s="6">
        <v>1.87</v>
      </c>
      <c r="J431" s="5">
        <v>6.5</v>
      </c>
      <c r="K431">
        <f t="shared" ref="K431" si="423">G431*$V$2/$R$2</f>
        <v>50926.765098489108</v>
      </c>
      <c r="L431" s="10">
        <v>480</v>
      </c>
      <c r="M431" s="8">
        <f t="shared" si="378"/>
        <v>7.6831826815940243</v>
      </c>
      <c r="N431">
        <v>0.62589928057553956</v>
      </c>
      <c r="O431">
        <v>0.47099999999999997</v>
      </c>
      <c r="P431" s="14">
        <v>436.31</v>
      </c>
    </row>
    <row r="432" spans="1:16" x14ac:dyDescent="0.35">
      <c r="A432" s="5">
        <v>2009</v>
      </c>
      <c r="B432" s="5">
        <v>47</v>
      </c>
      <c r="C432" s="5" t="s">
        <v>39</v>
      </c>
      <c r="D432" s="5" t="s">
        <v>87</v>
      </c>
      <c r="E432" s="5">
        <v>468</v>
      </c>
      <c r="F432" s="5">
        <v>6306019</v>
      </c>
      <c r="G432" s="5">
        <v>34427</v>
      </c>
      <c r="H432" s="5">
        <f t="shared" si="420"/>
        <v>7.4214809692136994</v>
      </c>
      <c r="I432" s="6">
        <v>1.83</v>
      </c>
      <c r="J432" s="5">
        <v>10.100000000000001</v>
      </c>
      <c r="K432">
        <f t="shared" ref="K432" si="424">G432*$V$2/$R$3</f>
        <v>50338.035877261274</v>
      </c>
      <c r="L432" s="10">
        <v>535</v>
      </c>
      <c r="M432" s="8">
        <f t="shared" si="378"/>
        <v>8.4839579455754901</v>
      </c>
      <c r="N432">
        <v>0.60612460401267154</v>
      </c>
      <c r="O432">
        <v>0.46700000000000003</v>
      </c>
      <c r="P432" s="14">
        <v>428.27</v>
      </c>
    </row>
    <row r="433" spans="1:16" x14ac:dyDescent="0.35">
      <c r="A433" s="5">
        <v>2010</v>
      </c>
      <c r="B433" s="5">
        <v>47</v>
      </c>
      <c r="C433" s="5" t="s">
        <v>39</v>
      </c>
      <c r="D433" s="5" t="s">
        <v>87</v>
      </c>
      <c r="E433" s="5">
        <v>359</v>
      </c>
      <c r="F433" s="5">
        <v>6356388</v>
      </c>
      <c r="G433" s="5">
        <v>35809</v>
      </c>
      <c r="H433" s="5">
        <f t="shared" si="420"/>
        <v>5.6478616472122214</v>
      </c>
      <c r="I433" s="6">
        <v>1.88</v>
      </c>
      <c r="J433" s="5">
        <v>9.8000000000000007</v>
      </c>
      <c r="K433">
        <f t="shared" ref="K433" si="425">G433*$V$2/$R$4</f>
        <v>51513.782702608507</v>
      </c>
      <c r="L433" s="10">
        <v>633</v>
      </c>
      <c r="M433" s="8">
        <f t="shared" si="378"/>
        <v>9.9584858570622181</v>
      </c>
      <c r="N433">
        <v>0.62036055143160129</v>
      </c>
      <c r="O433">
        <v>0.46800000000000003</v>
      </c>
      <c r="P433" s="14">
        <v>431.79</v>
      </c>
    </row>
    <row r="434" spans="1:16" x14ac:dyDescent="0.35">
      <c r="A434" s="5">
        <v>2011</v>
      </c>
      <c r="B434" s="5">
        <v>47</v>
      </c>
      <c r="C434" s="5" t="s">
        <v>39</v>
      </c>
      <c r="D434" s="5" t="s">
        <v>87</v>
      </c>
      <c r="E434" s="5">
        <v>380</v>
      </c>
      <c r="F434" s="5">
        <v>6404657</v>
      </c>
      <c r="G434" s="5">
        <v>37696</v>
      </c>
      <c r="H434" s="5">
        <f t="shared" si="420"/>
        <v>5.9331826825386589</v>
      </c>
      <c r="I434" s="6">
        <v>2.04</v>
      </c>
      <c r="J434" s="5">
        <v>9.1</v>
      </c>
      <c r="K434">
        <f t="shared" ref="K434" si="426">G434*$V$2/$R$5</f>
        <v>52569.010016048807</v>
      </c>
      <c r="L434" s="10">
        <v>633</v>
      </c>
      <c r="M434" s="8">
        <f t="shared" si="378"/>
        <v>9.8834332580183446</v>
      </c>
      <c r="N434">
        <v>0.61884816753926697</v>
      </c>
      <c r="O434">
        <v>0.47560000000000002</v>
      </c>
      <c r="P434" s="14">
        <v>442.96252791166302</v>
      </c>
    </row>
    <row r="435" spans="1:16" x14ac:dyDescent="0.35">
      <c r="A435" s="5">
        <v>2012</v>
      </c>
      <c r="B435" s="5">
        <v>47</v>
      </c>
      <c r="C435" s="5" t="s">
        <v>39</v>
      </c>
      <c r="D435" s="5" t="s">
        <v>87</v>
      </c>
      <c r="E435" s="5">
        <v>400</v>
      </c>
      <c r="F435" s="5">
        <v>6463610</v>
      </c>
      <c r="G435" s="5">
        <v>39079</v>
      </c>
      <c r="H435" s="5">
        <f t="shared" si="420"/>
        <v>6.1884921893492963</v>
      </c>
      <c r="I435" s="7">
        <v>2</v>
      </c>
      <c r="J435" s="5">
        <v>8</v>
      </c>
      <c r="K435">
        <f t="shared" ref="K435" si="427">G435*$V$2/$R$6</f>
        <v>53392.738621218334</v>
      </c>
      <c r="L435" s="10">
        <v>723</v>
      </c>
      <c r="M435" s="8">
        <f t="shared" si="378"/>
        <v>11.185699632248852</v>
      </c>
      <c r="N435">
        <v>0.64008179959100209</v>
      </c>
      <c r="O435">
        <v>0.47320000000000001</v>
      </c>
      <c r="P435" s="14">
        <v>438.20055059249103</v>
      </c>
    </row>
    <row r="436" spans="1:16" x14ac:dyDescent="0.35">
      <c r="A436" s="5">
        <v>2013</v>
      </c>
      <c r="B436" s="5">
        <v>47</v>
      </c>
      <c r="C436" s="5" t="s">
        <v>39</v>
      </c>
      <c r="D436" s="5" t="s">
        <v>87</v>
      </c>
      <c r="E436" s="5">
        <v>335</v>
      </c>
      <c r="F436" s="5">
        <v>6508290</v>
      </c>
      <c r="G436" s="5">
        <v>39099</v>
      </c>
      <c r="H436" s="5">
        <f t="shared" si="420"/>
        <v>5.1472813903498462</v>
      </c>
      <c r="I436" s="7">
        <v>2</v>
      </c>
      <c r="J436" s="5">
        <v>7.8000000000000007</v>
      </c>
      <c r="K436">
        <f t="shared" ref="K436" si="428">G436*$V$2/$R$7</f>
        <v>52648.884605313433</v>
      </c>
      <c r="L436" s="10">
        <v>767</v>
      </c>
      <c r="M436" s="8">
        <f t="shared" si="378"/>
        <v>11.784969631039797</v>
      </c>
      <c r="N436">
        <v>0.65631067961165046</v>
      </c>
      <c r="O436">
        <v>0.4783</v>
      </c>
      <c r="P436" s="14">
        <v>437.11436776121798</v>
      </c>
    </row>
    <row r="437" spans="1:16" x14ac:dyDescent="0.35">
      <c r="A437" s="5">
        <v>2014</v>
      </c>
      <c r="B437" s="5">
        <v>47</v>
      </c>
      <c r="C437" s="5" t="s">
        <v>39</v>
      </c>
      <c r="D437" s="5" t="s">
        <v>87</v>
      </c>
      <c r="E437" s="5">
        <v>369</v>
      </c>
      <c r="F437" s="5">
        <v>6559452</v>
      </c>
      <c r="G437" s="5">
        <v>40225</v>
      </c>
      <c r="H437" s="5">
        <f t="shared" si="420"/>
        <v>5.625469932549243</v>
      </c>
      <c r="I437" s="6">
        <v>2.02</v>
      </c>
      <c r="J437" s="5">
        <v>6.6000000000000005</v>
      </c>
      <c r="K437">
        <f t="shared" ref="K437" si="429">G437*$V$2/$R$8</f>
        <v>53300.469827149231</v>
      </c>
      <c r="L437" s="10">
        <v>863</v>
      </c>
      <c r="M437" s="8">
        <f t="shared" si="378"/>
        <v>13.156586861219505</v>
      </c>
      <c r="N437">
        <v>0.64593781344032097</v>
      </c>
      <c r="O437">
        <v>0.48110000000000003</v>
      </c>
      <c r="P437" s="14">
        <v>437.44514639488301</v>
      </c>
    </row>
    <row r="438" spans="1:16" x14ac:dyDescent="0.35">
      <c r="A438" s="5">
        <v>2015</v>
      </c>
      <c r="B438" s="5">
        <v>47</v>
      </c>
      <c r="C438" s="5" t="s">
        <v>39</v>
      </c>
      <c r="D438" s="5" t="s">
        <v>87</v>
      </c>
      <c r="E438" s="5">
        <v>418</v>
      </c>
      <c r="F438" s="5">
        <v>6613679</v>
      </c>
      <c r="G438" s="5">
        <v>41937</v>
      </c>
      <c r="H438" s="5">
        <f t="shared" si="420"/>
        <v>6.3202341692120232</v>
      </c>
      <c r="I438" s="6">
        <v>2.06</v>
      </c>
      <c r="J438" s="5">
        <v>5.6000000000000005</v>
      </c>
      <c r="K438">
        <f t="shared" ref="K438" si="430">G438*$V$2/$R$9</f>
        <v>55503.088778442056</v>
      </c>
      <c r="L438" s="10">
        <v>1038</v>
      </c>
      <c r="M438" s="8">
        <f t="shared" si="378"/>
        <v>15.694744180961914</v>
      </c>
      <c r="N438">
        <v>0.59737827715355807</v>
      </c>
      <c r="O438">
        <v>0.47889999999999999</v>
      </c>
      <c r="P438" s="14">
        <v>425.29981357278899</v>
      </c>
    </row>
    <row r="439" spans="1:16" x14ac:dyDescent="0.35">
      <c r="A439" s="5">
        <v>2016</v>
      </c>
      <c r="B439" s="5">
        <v>47</v>
      </c>
      <c r="C439" s="5" t="s">
        <v>39</v>
      </c>
      <c r="D439" s="5" t="s">
        <v>87</v>
      </c>
      <c r="E439" s="5">
        <v>495</v>
      </c>
      <c r="F439" s="5">
        <v>6673101</v>
      </c>
      <c r="G439" s="5">
        <v>42938</v>
      </c>
      <c r="H439" s="5">
        <f t="shared" si="420"/>
        <v>7.417840671076311</v>
      </c>
      <c r="I439" s="6">
        <v>2.14</v>
      </c>
      <c r="J439" s="5">
        <v>4.7</v>
      </c>
      <c r="K439">
        <f t="shared" ref="K439" si="431">G439*$V$2/$R$10</f>
        <v>56119.939343435821</v>
      </c>
      <c r="L439" s="10">
        <v>1186</v>
      </c>
      <c r="M439" s="8">
        <f t="shared" si="378"/>
        <v>17.772846537164657</v>
      </c>
      <c r="N439">
        <v>0.60756075607560756</v>
      </c>
      <c r="O439">
        <v>0.47899999999999998</v>
      </c>
      <c r="P439" s="14">
        <v>421.91460638656901</v>
      </c>
    </row>
    <row r="440" spans="1:16" x14ac:dyDescent="0.35">
      <c r="A440" s="5">
        <v>2017</v>
      </c>
      <c r="B440" s="5">
        <v>47</v>
      </c>
      <c r="C440" s="5" t="s">
        <v>39</v>
      </c>
      <c r="D440" s="5" t="s">
        <v>87</v>
      </c>
      <c r="E440" s="5">
        <v>538</v>
      </c>
      <c r="F440" s="5">
        <v>6740060</v>
      </c>
      <c r="G440" s="5">
        <v>44407</v>
      </c>
      <c r="H440" s="5">
        <f t="shared" si="420"/>
        <v>7.9821247882066331</v>
      </c>
      <c r="I440" s="6">
        <v>2.11</v>
      </c>
      <c r="J440" s="5">
        <v>3.7</v>
      </c>
      <c r="K440">
        <f t="shared" ref="K440" si="432">G440*$V$2/$R$11</f>
        <v>56829.256784432117</v>
      </c>
      <c r="L440" s="10">
        <v>1269</v>
      </c>
      <c r="M440" s="8">
        <f t="shared" si="378"/>
        <v>18.827725569208582</v>
      </c>
      <c r="N440">
        <v>0.60977701543739282</v>
      </c>
      <c r="O440">
        <v>0.48220000000000002</v>
      </c>
      <c r="P440" s="14">
        <v>429.94021783637697</v>
      </c>
    </row>
    <row r="441" spans="1:16" x14ac:dyDescent="0.35">
      <c r="A441" s="5">
        <v>2018</v>
      </c>
      <c r="B441" s="5">
        <v>47</v>
      </c>
      <c r="C441" s="5" t="s">
        <v>39</v>
      </c>
      <c r="D441" s="5" t="s">
        <v>87</v>
      </c>
      <c r="E441" s="5">
        <v>508</v>
      </c>
      <c r="F441" s="5">
        <v>6806981</v>
      </c>
      <c r="G441" s="5">
        <v>46449</v>
      </c>
      <c r="H441" s="5">
        <f t="shared" si="420"/>
        <v>7.4629266630830902</v>
      </c>
      <c r="I441" s="6">
        <v>2.14</v>
      </c>
      <c r="J441" s="5">
        <v>3.5</v>
      </c>
      <c r="K441">
        <f t="shared" ref="K441" si="433">G441*$V$2/$R$12</f>
        <v>58025.225744403782</v>
      </c>
      <c r="L441" s="10">
        <v>1307</v>
      </c>
      <c r="M441" s="8">
        <f t="shared" si="378"/>
        <v>19.200876276869291</v>
      </c>
      <c r="N441">
        <v>0.59431524547803616</v>
      </c>
      <c r="O441">
        <v>0.4778</v>
      </c>
      <c r="P441" s="14">
        <v>386.96961668822399</v>
      </c>
    </row>
    <row r="442" spans="1:16" x14ac:dyDescent="0.35">
      <c r="A442" s="5">
        <v>2008</v>
      </c>
      <c r="B442" s="5">
        <v>48</v>
      </c>
      <c r="C442" s="5" t="s">
        <v>40</v>
      </c>
      <c r="D442" s="5" t="s">
        <v>88</v>
      </c>
      <c r="E442" s="5">
        <v>1370</v>
      </c>
      <c r="F442" s="5">
        <v>24309039</v>
      </c>
      <c r="G442" s="5">
        <v>39841</v>
      </c>
      <c r="H442" s="5">
        <f t="shared" si="420"/>
        <v>5.6357637173563297</v>
      </c>
      <c r="I442" s="6">
        <v>2.2799999999999998</v>
      </c>
      <c r="J442" s="5">
        <v>4.9000000000000004</v>
      </c>
      <c r="K442">
        <f t="shared" ref="K442" si="434">G442*$V$2/$R$2</f>
        <v>58046.954519909159</v>
      </c>
      <c r="L442" s="10">
        <v>944</v>
      </c>
      <c r="M442" s="8">
        <f t="shared" si="378"/>
        <v>3.8833291599885955</v>
      </c>
      <c r="N442">
        <v>0.59012539184952983</v>
      </c>
      <c r="O442">
        <v>0.47399999999999998</v>
      </c>
      <c r="P442" s="14">
        <v>670.73</v>
      </c>
    </row>
    <row r="443" spans="1:16" x14ac:dyDescent="0.35">
      <c r="A443" s="5">
        <v>2009</v>
      </c>
      <c r="B443" s="5">
        <v>48</v>
      </c>
      <c r="C443" s="5" t="s">
        <v>40</v>
      </c>
      <c r="D443" s="5" t="s">
        <v>88</v>
      </c>
      <c r="E443" s="5">
        <v>1330</v>
      </c>
      <c r="F443" s="5">
        <v>24801761</v>
      </c>
      <c r="G443" s="5">
        <v>37234</v>
      </c>
      <c r="H443" s="5">
        <f t="shared" si="420"/>
        <v>5.3625224434668164</v>
      </c>
      <c r="I443" s="6">
        <v>2.2599999999999998</v>
      </c>
      <c r="J443" s="5">
        <v>7.5</v>
      </c>
      <c r="K443">
        <f t="shared" ref="K443" si="435">G443*$V$2/$R$3</f>
        <v>54442.339671012465</v>
      </c>
      <c r="L443" s="10">
        <v>1151</v>
      </c>
      <c r="M443" s="8">
        <f t="shared" si="378"/>
        <v>4.6407994980678993</v>
      </c>
      <c r="N443">
        <v>0.56354574581701677</v>
      </c>
      <c r="O443">
        <v>0.47399999999999998</v>
      </c>
      <c r="P443" s="14">
        <v>654.44000000000005</v>
      </c>
    </row>
    <row r="444" spans="1:16" x14ac:dyDescent="0.35">
      <c r="A444" s="5">
        <v>2010</v>
      </c>
      <c r="B444" s="5">
        <v>48</v>
      </c>
      <c r="C444" s="5" t="s">
        <v>40</v>
      </c>
      <c r="D444" s="5" t="s">
        <v>88</v>
      </c>
      <c r="E444" s="5">
        <v>1249</v>
      </c>
      <c r="F444" s="5">
        <v>25238386</v>
      </c>
      <c r="G444" s="5">
        <v>38911</v>
      </c>
      <c r="H444" s="5">
        <f t="shared" si="420"/>
        <v>4.9488109104916616</v>
      </c>
      <c r="I444" s="6">
        <v>2.23</v>
      </c>
      <c r="J444" s="5">
        <v>8.2000000000000011</v>
      </c>
      <c r="K444">
        <f t="shared" ref="K444" si="436">G444*$V$2/$R$4</f>
        <v>55976.229404373189</v>
      </c>
      <c r="L444" s="10">
        <v>1123</v>
      </c>
      <c r="M444" s="8">
        <f t="shared" si="378"/>
        <v>4.4495713790889795</v>
      </c>
      <c r="N444">
        <v>0.58872362504323761</v>
      </c>
      <c r="O444">
        <v>0.46899999999999997</v>
      </c>
      <c r="P444" s="14">
        <v>652</v>
      </c>
    </row>
    <row r="445" spans="1:16" x14ac:dyDescent="0.35">
      <c r="A445" s="5">
        <v>2011</v>
      </c>
      <c r="B445" s="5">
        <v>48</v>
      </c>
      <c r="C445" s="5" t="s">
        <v>40</v>
      </c>
      <c r="D445" s="5" t="s">
        <v>88</v>
      </c>
      <c r="E445" s="5">
        <v>1130</v>
      </c>
      <c r="F445" s="5">
        <v>25627909</v>
      </c>
      <c r="G445" s="5">
        <v>41941</v>
      </c>
      <c r="H445" s="5">
        <f t="shared" si="420"/>
        <v>4.4092555502674839</v>
      </c>
      <c r="I445" s="6">
        <v>2.27</v>
      </c>
      <c r="J445" s="5">
        <v>8</v>
      </c>
      <c r="K445">
        <f t="shared" ref="K445" si="437">G445*$V$2/$R$5</f>
        <v>58488.880758783504</v>
      </c>
      <c r="L445" s="10">
        <v>1178</v>
      </c>
      <c r="M445" s="8">
        <f t="shared" si="378"/>
        <v>4.5965513612522972</v>
      </c>
      <c r="N445">
        <v>0.58149171270718236</v>
      </c>
      <c r="O445">
        <v>0.47710000000000002</v>
      </c>
      <c r="P445" s="14">
        <v>632.66940284939506</v>
      </c>
    </row>
    <row r="446" spans="1:16" x14ac:dyDescent="0.35">
      <c r="A446" s="5">
        <v>2012</v>
      </c>
      <c r="B446" s="5">
        <v>48</v>
      </c>
      <c r="C446" s="5" t="s">
        <v>40</v>
      </c>
      <c r="D446" s="5" t="s">
        <v>88</v>
      </c>
      <c r="E446" s="5">
        <v>1148</v>
      </c>
      <c r="F446" s="5">
        <v>26052403</v>
      </c>
      <c r="G446" s="5">
        <v>43869</v>
      </c>
      <c r="H446" s="5">
        <f t="shared" si="420"/>
        <v>4.406503307967407</v>
      </c>
      <c r="I446" s="6">
        <v>2.2799999999999998</v>
      </c>
      <c r="J446" s="5">
        <v>6.7</v>
      </c>
      <c r="K446">
        <f t="shared" ref="K446" si="438">G446*$V$2/$R$6</f>
        <v>59937.205419131162</v>
      </c>
      <c r="L446" s="10">
        <v>1131</v>
      </c>
      <c r="M446" s="8">
        <f t="shared" si="378"/>
        <v>4.3412502102013395</v>
      </c>
      <c r="N446">
        <v>0.5742509054988475</v>
      </c>
      <c r="O446">
        <v>0.47670000000000001</v>
      </c>
      <c r="P446" s="14">
        <v>601.23105008448795</v>
      </c>
    </row>
    <row r="447" spans="1:16" x14ac:dyDescent="0.35">
      <c r="A447" s="5">
        <v>2013</v>
      </c>
      <c r="B447" s="5">
        <v>48</v>
      </c>
      <c r="C447" s="5" t="s">
        <v>40</v>
      </c>
      <c r="D447" s="5" t="s">
        <v>88</v>
      </c>
      <c r="E447" s="5">
        <v>1140</v>
      </c>
      <c r="F447" s="5">
        <v>26433846</v>
      </c>
      <c r="G447" s="5">
        <v>44403</v>
      </c>
      <c r="H447" s="5">
        <f t="shared" si="420"/>
        <v>4.3126528012609286</v>
      </c>
      <c r="I447" s="6">
        <v>2.25</v>
      </c>
      <c r="J447" s="5">
        <v>6.3000000000000007</v>
      </c>
      <c r="K447">
        <f t="shared" ref="K447" si="439">G447*$V$2/$R$7</f>
        <v>59791.002918993639</v>
      </c>
      <c r="L447" s="10">
        <v>1053</v>
      </c>
      <c r="M447" s="8">
        <f t="shared" si="378"/>
        <v>3.9835292980068058</v>
      </c>
      <c r="N447">
        <v>0.58188950637463221</v>
      </c>
      <c r="O447">
        <v>0.48070000000000002</v>
      </c>
      <c r="P447" s="14">
        <v>599.50136984538995</v>
      </c>
    </row>
    <row r="448" spans="1:16" x14ac:dyDescent="0.35">
      <c r="A448" s="5">
        <v>2014</v>
      </c>
      <c r="B448" s="5">
        <v>48</v>
      </c>
      <c r="C448" s="5" t="s">
        <v>40</v>
      </c>
      <c r="D448" s="5" t="s">
        <v>88</v>
      </c>
      <c r="E448" s="5">
        <v>1192</v>
      </c>
      <c r="F448" s="5">
        <v>26903208</v>
      </c>
      <c r="G448" s="5">
        <v>46747</v>
      </c>
      <c r="H448" s="5">
        <f t="shared" si="420"/>
        <v>4.4306983761936491</v>
      </c>
      <c r="I448" s="6">
        <v>2.23</v>
      </c>
      <c r="J448" s="5">
        <v>5.2</v>
      </c>
      <c r="K448">
        <f t="shared" ref="K448" si="440">G448*$V$2/$R$8</f>
        <v>61942.500012672346</v>
      </c>
      <c r="L448" s="10">
        <v>1151</v>
      </c>
      <c r="M448" s="8">
        <f t="shared" si="378"/>
        <v>4.278300193791015</v>
      </c>
      <c r="N448">
        <v>0.5497848801475107</v>
      </c>
      <c r="O448">
        <v>0.48270000000000002</v>
      </c>
      <c r="P448" s="14">
        <v>582.31809815964402</v>
      </c>
    </row>
    <row r="449" spans="1:16" x14ac:dyDescent="0.35">
      <c r="A449" s="5">
        <v>2015</v>
      </c>
      <c r="B449" s="5">
        <v>48</v>
      </c>
      <c r="C449" s="5" t="s">
        <v>40</v>
      </c>
      <c r="D449" s="5" t="s">
        <v>88</v>
      </c>
      <c r="E449" s="5">
        <v>1317</v>
      </c>
      <c r="F449" s="5">
        <v>27394564</v>
      </c>
      <c r="G449" s="5">
        <v>46767</v>
      </c>
      <c r="H449" s="5">
        <f t="shared" si="420"/>
        <v>4.8075231275810779</v>
      </c>
      <c r="I449" s="6">
        <v>2.2799999999999998</v>
      </c>
      <c r="J449" s="5">
        <v>4.5</v>
      </c>
      <c r="K449">
        <f t="shared" ref="K449" si="441">G449*$V$2/$R$9</f>
        <v>61895.532653775896</v>
      </c>
      <c r="L449" s="10">
        <v>1287</v>
      </c>
      <c r="M449" s="8">
        <f t="shared" si="378"/>
        <v>4.6980123501874314</v>
      </c>
      <c r="N449">
        <v>0.58595357037907725</v>
      </c>
      <c r="O449">
        <v>0.48230000000000001</v>
      </c>
      <c r="P449" s="14">
        <v>568.70401731771403</v>
      </c>
    </row>
    <row r="450" spans="1:16" x14ac:dyDescent="0.35">
      <c r="A450" s="5">
        <v>2016</v>
      </c>
      <c r="B450" s="5">
        <v>48</v>
      </c>
      <c r="C450" s="5" t="s">
        <v>40</v>
      </c>
      <c r="D450" s="5" t="s">
        <v>88</v>
      </c>
      <c r="E450" s="5">
        <v>1478</v>
      </c>
      <c r="F450" s="5">
        <v>27825975</v>
      </c>
      <c r="G450" s="5">
        <v>45868</v>
      </c>
      <c r="H450" s="5">
        <f t="shared" si="420"/>
        <v>5.3115838708257304</v>
      </c>
      <c r="I450" s="6">
        <v>2.3299999999999899</v>
      </c>
      <c r="J450" s="5">
        <v>4.6000000000000005</v>
      </c>
      <c r="K450">
        <f t="shared" ref="K450" si="442">G450*$V$2/$R$10</f>
        <v>59949.447524447205</v>
      </c>
      <c r="L450" s="10">
        <v>1375</v>
      </c>
      <c r="M450" s="8">
        <f t="shared" si="378"/>
        <v>4.9414261315192007</v>
      </c>
      <c r="N450">
        <v>0.57798165137614677</v>
      </c>
      <c r="O450">
        <v>0.48</v>
      </c>
      <c r="P450" s="14">
        <v>561.69305512636902</v>
      </c>
    </row>
    <row r="451" spans="1:16" x14ac:dyDescent="0.35">
      <c r="A451" s="5">
        <v>2017</v>
      </c>
      <c r="B451" s="5">
        <v>48</v>
      </c>
      <c r="C451" s="5" t="s">
        <v>40</v>
      </c>
      <c r="D451" s="5" t="s">
        <v>88</v>
      </c>
      <c r="E451" s="5">
        <v>1405</v>
      </c>
      <c r="F451" s="5">
        <v>28188852</v>
      </c>
      <c r="G451" s="5">
        <v>48524</v>
      </c>
      <c r="H451" s="5">
        <f t="shared" si="420"/>
        <v>4.98423986900921</v>
      </c>
      <c r="I451" s="6">
        <v>2.34</v>
      </c>
      <c r="J451" s="5">
        <v>4.3</v>
      </c>
      <c r="K451">
        <f t="shared" ref="K451" si="443">G451*$V$2/$R$11</f>
        <v>62097.931772193209</v>
      </c>
      <c r="L451" s="10">
        <v>1458</v>
      </c>
      <c r="M451" s="8">
        <f t="shared" ref="M451:M514" si="444">L451/F451*100000</f>
        <v>5.17225745837397</v>
      </c>
      <c r="N451">
        <v>0.57120169401799892</v>
      </c>
      <c r="O451">
        <v>0.47810000000000002</v>
      </c>
      <c r="P451" s="14">
        <v>552.59090280604801</v>
      </c>
    </row>
    <row r="452" spans="1:16" x14ac:dyDescent="0.35">
      <c r="A452" s="5">
        <v>2018</v>
      </c>
      <c r="B452" s="5">
        <v>48</v>
      </c>
      <c r="C452" s="5" t="s">
        <v>40</v>
      </c>
      <c r="D452" s="5" t="s">
        <v>88</v>
      </c>
      <c r="E452" s="5">
        <v>1327</v>
      </c>
      <c r="F452" s="5">
        <v>28508309</v>
      </c>
      <c r="G452" s="5">
        <v>51346</v>
      </c>
      <c r="H452" s="5">
        <f t="shared" si="420"/>
        <v>4.6547832773946709</v>
      </c>
      <c r="I452" s="6">
        <v>2.2599999999999998</v>
      </c>
      <c r="J452" s="5">
        <v>3.9000000000000004</v>
      </c>
      <c r="K452">
        <f t="shared" ref="K452" si="445">G452*$V$2/$R$12</f>
        <v>64142.677798707329</v>
      </c>
      <c r="L452" s="10">
        <v>1402</v>
      </c>
      <c r="M452" s="8">
        <f t="shared" si="444"/>
        <v>4.9178644724245135</v>
      </c>
      <c r="N452">
        <v>0.57582697201017807</v>
      </c>
      <c r="O452">
        <v>0.48220000000000002</v>
      </c>
      <c r="P452" s="14">
        <v>550.38245804995404</v>
      </c>
    </row>
    <row r="453" spans="1:16" x14ac:dyDescent="0.35">
      <c r="A453" s="5">
        <v>2008</v>
      </c>
      <c r="B453" s="5">
        <v>49</v>
      </c>
      <c r="C453" s="5" t="s">
        <v>41</v>
      </c>
      <c r="D453" s="5" t="s">
        <v>89</v>
      </c>
      <c r="E453" s="5">
        <v>41</v>
      </c>
      <c r="F453" s="5">
        <v>2663029</v>
      </c>
      <c r="G453" s="5">
        <v>33784</v>
      </c>
      <c r="H453" s="5">
        <f t="shared" si="420"/>
        <v>1.5396002071325545</v>
      </c>
      <c r="I453" s="6">
        <v>1.41</v>
      </c>
      <c r="J453" s="5">
        <v>3.3000000000000003</v>
      </c>
      <c r="K453">
        <f t="shared" ref="K453" si="446">G453*$V$2/$R$2</f>
        <v>49222.11569741249</v>
      </c>
      <c r="L453" s="10">
        <v>350</v>
      </c>
      <c r="M453" s="8">
        <f t="shared" si="444"/>
        <v>13.142928597473027</v>
      </c>
      <c r="N453">
        <v>0.50256410256410255</v>
      </c>
      <c r="O453">
        <v>0.41099999999999998</v>
      </c>
      <c r="P453" s="14">
        <v>235.61</v>
      </c>
    </row>
    <row r="454" spans="1:16" x14ac:dyDescent="0.35">
      <c r="A454" s="5">
        <v>2009</v>
      </c>
      <c r="B454" s="5">
        <v>49</v>
      </c>
      <c r="C454" s="5" t="s">
        <v>41</v>
      </c>
      <c r="D454" s="5" t="s">
        <v>89</v>
      </c>
      <c r="E454" s="5">
        <v>39</v>
      </c>
      <c r="F454" s="5">
        <v>2723421</v>
      </c>
      <c r="G454" s="5">
        <v>31796</v>
      </c>
      <c r="H454" s="5">
        <f t="shared" si="420"/>
        <v>1.4320224452994965</v>
      </c>
      <c r="I454" s="6">
        <v>1.36</v>
      </c>
      <c r="J454" s="5">
        <v>7.3000000000000007</v>
      </c>
      <c r="K454">
        <f t="shared" ref="K454" si="447">G454*$V$2/$R$3</f>
        <v>46491.073539762372</v>
      </c>
      <c r="L454" s="10">
        <v>370</v>
      </c>
      <c r="M454" s="8">
        <f t="shared" si="444"/>
        <v>13.585853968225992</v>
      </c>
      <c r="N454">
        <v>0.48329621380846327</v>
      </c>
      <c r="O454">
        <v>0.41399999999999998</v>
      </c>
      <c r="P454" s="14">
        <v>234.29</v>
      </c>
    </row>
    <row r="455" spans="1:16" x14ac:dyDescent="0.35">
      <c r="A455" s="5">
        <v>2010</v>
      </c>
      <c r="B455" s="5">
        <v>49</v>
      </c>
      <c r="C455" s="5" t="s">
        <v>41</v>
      </c>
      <c r="D455" s="5" t="s">
        <v>89</v>
      </c>
      <c r="E455" s="5">
        <v>53</v>
      </c>
      <c r="F455" s="5">
        <v>2776212</v>
      </c>
      <c r="G455" s="5">
        <v>32037</v>
      </c>
      <c r="H455" s="5">
        <f t="shared" si="420"/>
        <v>1.9090761080205689</v>
      </c>
      <c r="I455" s="6">
        <v>1.35</v>
      </c>
      <c r="J455" s="5">
        <v>7.9</v>
      </c>
      <c r="K455">
        <f t="shared" ref="K455" si="448">G455*$V$2/$R$4</f>
        <v>46087.493547529077</v>
      </c>
      <c r="L455" s="10">
        <v>336</v>
      </c>
      <c r="M455" s="8">
        <f t="shared" si="444"/>
        <v>12.102822118771909</v>
      </c>
      <c r="N455">
        <v>0.58139534883720934</v>
      </c>
      <c r="O455">
        <v>0.41899999999999998</v>
      </c>
      <c r="P455" s="14">
        <v>244.82</v>
      </c>
    </row>
    <row r="456" spans="1:16" x14ac:dyDescent="0.35">
      <c r="A456" s="5">
        <v>2011</v>
      </c>
      <c r="B456" s="5">
        <v>49</v>
      </c>
      <c r="C456" s="5" t="s">
        <v>41</v>
      </c>
      <c r="D456" s="5" t="s">
        <v>89</v>
      </c>
      <c r="E456" s="5">
        <v>50</v>
      </c>
      <c r="F456" s="5">
        <v>2818798</v>
      </c>
      <c r="G456" s="5">
        <v>34015</v>
      </c>
      <c r="H456" s="5">
        <f t="shared" si="420"/>
        <v>1.7738057143505848</v>
      </c>
      <c r="I456" s="6">
        <v>1.36</v>
      </c>
      <c r="J456" s="5">
        <v>7.1000000000000005</v>
      </c>
      <c r="K456">
        <f t="shared" ref="K456" si="449">G456*$V$2/$R$5</f>
        <v>47435.666269521964</v>
      </c>
      <c r="L456" s="10">
        <v>381</v>
      </c>
      <c r="M456" s="8">
        <f t="shared" si="444"/>
        <v>13.516399543351458</v>
      </c>
      <c r="N456">
        <v>0.53386454183266929</v>
      </c>
      <c r="O456">
        <v>0.4249</v>
      </c>
      <c r="P456" s="14">
        <v>242.56058194787701</v>
      </c>
    </row>
    <row r="457" spans="1:16" x14ac:dyDescent="0.35">
      <c r="A457" s="5">
        <v>2012</v>
      </c>
      <c r="B457" s="5">
        <v>49</v>
      </c>
      <c r="C457" s="5" t="s">
        <v>41</v>
      </c>
      <c r="D457" s="5" t="s">
        <v>89</v>
      </c>
      <c r="E457" s="5">
        <v>52</v>
      </c>
      <c r="F457" s="5">
        <v>2861360</v>
      </c>
      <c r="G457" s="5">
        <v>35622</v>
      </c>
      <c r="H457" s="5">
        <f t="shared" si="420"/>
        <v>1.8173176391645929</v>
      </c>
      <c r="I457" s="6">
        <v>1.37</v>
      </c>
      <c r="J457" s="5">
        <v>4.8000000000000007</v>
      </c>
      <c r="K457">
        <f t="shared" ref="K457" si="450">G457*$V$2/$R$6</f>
        <v>48669.519055376011</v>
      </c>
      <c r="L457" s="10">
        <v>422</v>
      </c>
      <c r="M457" s="8">
        <f t="shared" si="444"/>
        <v>14.748231610143428</v>
      </c>
      <c r="N457">
        <v>0.51454545454545453</v>
      </c>
      <c r="O457">
        <v>0.4244</v>
      </c>
      <c r="P457" s="14">
        <v>242.11634734094699</v>
      </c>
    </row>
    <row r="458" spans="1:16" x14ac:dyDescent="0.35">
      <c r="A458" s="5">
        <v>2013</v>
      </c>
      <c r="B458" s="5">
        <v>49</v>
      </c>
      <c r="C458" s="5" t="s">
        <v>41</v>
      </c>
      <c r="D458" s="5" t="s">
        <v>89</v>
      </c>
      <c r="E458" s="5">
        <v>51</v>
      </c>
      <c r="F458" s="5">
        <v>2909190</v>
      </c>
      <c r="G458" s="5">
        <v>36102</v>
      </c>
      <c r="H458" s="5">
        <f t="shared" si="420"/>
        <v>1.7530652862136884</v>
      </c>
      <c r="I458" s="6">
        <v>1.37</v>
      </c>
      <c r="J458" s="5">
        <v>4.2</v>
      </c>
      <c r="K458">
        <f t="shared" ref="K458" si="451">G458*$V$2/$R$7</f>
        <v>48613.264585309742</v>
      </c>
      <c r="L458" s="10">
        <v>432</v>
      </c>
      <c r="M458" s="8">
        <f t="shared" si="444"/>
        <v>14.849494189104183</v>
      </c>
      <c r="N458">
        <v>0.50949913644214162</v>
      </c>
      <c r="O458">
        <v>0.4259</v>
      </c>
      <c r="P458" s="14">
        <v>241.90315390814499</v>
      </c>
    </row>
    <row r="459" spans="1:16" x14ac:dyDescent="0.35">
      <c r="A459" s="5">
        <v>2014</v>
      </c>
      <c r="B459" s="5">
        <v>49</v>
      </c>
      <c r="C459" s="5" t="s">
        <v>41</v>
      </c>
      <c r="D459" s="5" t="s">
        <v>89</v>
      </c>
      <c r="E459" s="5">
        <v>66</v>
      </c>
      <c r="F459" s="5">
        <v>2951948</v>
      </c>
      <c r="G459" s="5">
        <v>37621</v>
      </c>
      <c r="H459" s="5">
        <f t="shared" si="420"/>
        <v>2.2358117419412538</v>
      </c>
      <c r="I459" s="6">
        <v>1.37</v>
      </c>
      <c r="J459" s="5">
        <v>3.6</v>
      </c>
      <c r="K459">
        <f t="shared" ref="K459" si="452">G459*$V$2/$R$8</f>
        <v>49850.018032745342</v>
      </c>
      <c r="L459" s="10">
        <v>455</v>
      </c>
      <c r="M459" s="8">
        <f t="shared" si="444"/>
        <v>15.413550645201067</v>
      </c>
      <c r="N459">
        <v>0.49731663685152055</v>
      </c>
      <c r="O459">
        <v>0.42830000000000001</v>
      </c>
      <c r="P459" s="14">
        <v>236.507271917059</v>
      </c>
    </row>
    <row r="460" spans="1:16" x14ac:dyDescent="0.35">
      <c r="A460" s="5">
        <v>2015</v>
      </c>
      <c r="B460" s="5">
        <v>49</v>
      </c>
      <c r="C460" s="5" t="s">
        <v>41</v>
      </c>
      <c r="D460" s="5" t="s">
        <v>89</v>
      </c>
      <c r="E460" s="5">
        <v>57</v>
      </c>
      <c r="F460" s="5">
        <v>3000449</v>
      </c>
      <c r="G460" s="5">
        <v>39881</v>
      </c>
      <c r="H460" s="5">
        <f t="shared" si="420"/>
        <v>1.8997156758871756</v>
      </c>
      <c r="I460" s="6">
        <v>1.4</v>
      </c>
      <c r="J460" s="5">
        <v>3.5</v>
      </c>
      <c r="K460">
        <f t="shared" ref="K460" si="453">G460*$V$2/$R$9</f>
        <v>52781.99879755461</v>
      </c>
      <c r="L460" s="10">
        <v>448</v>
      </c>
      <c r="M460" s="8">
        <f t="shared" si="444"/>
        <v>14.931098645569378</v>
      </c>
      <c r="N460">
        <v>0.49682539682539684</v>
      </c>
      <c r="O460">
        <v>0.42520000000000002</v>
      </c>
      <c r="P460" s="14">
        <v>214.751167676374</v>
      </c>
    </row>
    <row r="461" spans="1:16" x14ac:dyDescent="0.35">
      <c r="A461" s="5">
        <v>2016</v>
      </c>
      <c r="B461" s="5">
        <v>49</v>
      </c>
      <c r="C461" s="5" t="s">
        <v>41</v>
      </c>
      <c r="D461" s="5" t="s">
        <v>89</v>
      </c>
      <c r="E461" s="5">
        <v>74</v>
      </c>
      <c r="F461" s="5">
        <v>3064277</v>
      </c>
      <c r="G461" s="5">
        <v>41295</v>
      </c>
      <c r="H461" s="5">
        <f t="shared" si="420"/>
        <v>2.4149252825380993</v>
      </c>
      <c r="I461" s="6">
        <v>1.34</v>
      </c>
      <c r="J461" s="5">
        <v>3.3000000000000003</v>
      </c>
      <c r="K461">
        <f t="shared" ref="K461" si="454">G461*$V$2/$R$10</f>
        <v>53972.539363435237</v>
      </c>
      <c r="L461" s="10">
        <v>466</v>
      </c>
      <c r="M461" s="8">
        <f t="shared" si="444"/>
        <v>15.207502454902086</v>
      </c>
      <c r="N461">
        <v>0.49838709677419357</v>
      </c>
      <c r="O461">
        <v>0.42630000000000001</v>
      </c>
      <c r="P461" s="14">
        <v>200.77263792016299</v>
      </c>
    </row>
    <row r="462" spans="1:16" x14ac:dyDescent="0.35">
      <c r="A462" s="5">
        <v>2017</v>
      </c>
      <c r="B462" s="5">
        <v>49</v>
      </c>
      <c r="C462" s="5" t="s">
        <v>41</v>
      </c>
      <c r="D462" s="5" t="s">
        <v>89</v>
      </c>
      <c r="E462" s="5">
        <v>74</v>
      </c>
      <c r="F462" s="5">
        <v>3126779</v>
      </c>
      <c r="G462" s="5">
        <v>43030</v>
      </c>
      <c r="H462" s="5">
        <f t="shared" si="420"/>
        <v>2.3666527119441447</v>
      </c>
      <c r="I462" s="6">
        <v>1.36</v>
      </c>
      <c r="J462" s="5">
        <v>3.1</v>
      </c>
      <c r="K462">
        <f t="shared" ref="K462" si="455">G462*$V$2/$R$11</f>
        <v>55067.059685052227</v>
      </c>
      <c r="L462" s="10">
        <v>456</v>
      </c>
      <c r="M462" s="8">
        <f t="shared" si="444"/>
        <v>14.583697792520674</v>
      </c>
      <c r="N462">
        <v>0.5188536953242836</v>
      </c>
      <c r="O462">
        <v>0.42249999999999999</v>
      </c>
      <c r="P462" s="14">
        <v>204.69992561590399</v>
      </c>
    </row>
    <row r="463" spans="1:16" x14ac:dyDescent="0.35">
      <c r="A463" s="5">
        <v>2018</v>
      </c>
      <c r="B463" s="5">
        <v>49</v>
      </c>
      <c r="C463" s="5" t="s">
        <v>41</v>
      </c>
      <c r="D463" s="5" t="s">
        <v>89</v>
      </c>
      <c r="E463" s="5">
        <v>63</v>
      </c>
      <c r="F463" s="5">
        <v>3181595</v>
      </c>
      <c r="G463" s="5">
        <v>45463</v>
      </c>
      <c r="H463" s="5">
        <f t="shared" si="420"/>
        <v>1.9801388925994667</v>
      </c>
      <c r="I463" s="6">
        <v>1.35</v>
      </c>
      <c r="J463" s="5">
        <v>2.9000000000000004</v>
      </c>
      <c r="K463">
        <f t="shared" ref="K463" si="456">G463*$V$2/$R$12</f>
        <v>56793.490452277321</v>
      </c>
      <c r="L463" s="10">
        <v>437</v>
      </c>
      <c r="M463" s="8">
        <f t="shared" si="444"/>
        <v>13.735249143904236</v>
      </c>
      <c r="N463">
        <v>0.50977443609022555</v>
      </c>
      <c r="O463">
        <v>0.4269</v>
      </c>
      <c r="P463" s="14">
        <v>208.889057993048</v>
      </c>
    </row>
    <row r="464" spans="1:16" x14ac:dyDescent="0.35">
      <c r="A464" s="5">
        <v>2008</v>
      </c>
      <c r="B464" s="5">
        <v>50</v>
      </c>
      <c r="C464" s="5" t="s">
        <v>42</v>
      </c>
      <c r="D464" s="5" t="s">
        <v>90</v>
      </c>
      <c r="E464" s="5">
        <v>17</v>
      </c>
      <c r="F464" s="5">
        <v>624151</v>
      </c>
      <c r="G464" s="5">
        <v>40774</v>
      </c>
      <c r="H464" s="5">
        <f t="shared" si="420"/>
        <v>2.7236998739087177</v>
      </c>
      <c r="I464" s="6">
        <v>2.79</v>
      </c>
      <c r="J464" s="5">
        <v>4.5</v>
      </c>
      <c r="K464">
        <f t="shared" ref="K464" si="457">G464*$V$2/$R$2</f>
        <v>59406.303144870253</v>
      </c>
      <c r="L464" s="10">
        <v>57</v>
      </c>
      <c r="M464" s="8">
        <f t="shared" si="444"/>
        <v>9.1324054595762885</v>
      </c>
      <c r="N464">
        <v>0.46808510638297873</v>
      </c>
      <c r="O464">
        <v>0.434</v>
      </c>
      <c r="P464" s="14">
        <v>260.52999999999997</v>
      </c>
    </row>
    <row r="465" spans="1:16" x14ac:dyDescent="0.35">
      <c r="A465" s="5">
        <v>2009</v>
      </c>
      <c r="B465" s="5">
        <v>50</v>
      </c>
      <c r="C465" s="5" t="s">
        <v>42</v>
      </c>
      <c r="D465" s="5" t="s">
        <v>90</v>
      </c>
      <c r="E465" s="5">
        <v>8</v>
      </c>
      <c r="F465" s="5">
        <v>624817</v>
      </c>
      <c r="G465" s="5">
        <v>40358</v>
      </c>
      <c r="H465" s="5">
        <f t="shared" si="420"/>
        <v>1.2803748937688957</v>
      </c>
      <c r="I465" s="6">
        <v>2.77</v>
      </c>
      <c r="J465" s="5">
        <v>6.2</v>
      </c>
      <c r="K465">
        <f t="shared" ref="K465" si="458">G465*$V$2/$R$3</f>
        <v>59010.15051949081</v>
      </c>
      <c r="L465" s="10">
        <v>39</v>
      </c>
      <c r="M465" s="8">
        <f t="shared" si="444"/>
        <v>6.2418276071233665</v>
      </c>
      <c r="N465">
        <v>0.67816091954022983</v>
      </c>
      <c r="O465">
        <v>0.42799999999999999</v>
      </c>
      <c r="P465" s="14">
        <v>277.27999999999997</v>
      </c>
    </row>
    <row r="466" spans="1:16" x14ac:dyDescent="0.35">
      <c r="A466" s="5">
        <v>2010</v>
      </c>
      <c r="B466" s="5">
        <v>50</v>
      </c>
      <c r="C466" s="5" t="s">
        <v>42</v>
      </c>
      <c r="D466" s="5" t="s">
        <v>90</v>
      </c>
      <c r="E466" s="5">
        <v>7</v>
      </c>
      <c r="F466" s="5">
        <v>626366</v>
      </c>
      <c r="G466" s="5">
        <v>41491</v>
      </c>
      <c r="H466" s="5">
        <f t="shared" si="420"/>
        <v>1.1175574664014332</v>
      </c>
      <c r="I466" s="6">
        <v>2.8</v>
      </c>
      <c r="J466" s="5">
        <v>6.3000000000000007</v>
      </c>
      <c r="K466">
        <f t="shared" ref="K466" si="459">G466*$V$2/$R$4</f>
        <v>59687.742135047876</v>
      </c>
      <c r="L466" s="10">
        <v>43</v>
      </c>
      <c r="M466" s="8">
        <f t="shared" si="444"/>
        <v>6.8649958650373737</v>
      </c>
      <c r="N466">
        <v>0.62264150943396224</v>
      </c>
      <c r="O466">
        <v>0.44400000000000001</v>
      </c>
      <c r="P466" s="14">
        <v>263.45999999999998</v>
      </c>
    </row>
    <row r="467" spans="1:16" x14ac:dyDescent="0.35">
      <c r="A467" s="5">
        <v>2011</v>
      </c>
      <c r="B467" s="5">
        <v>50</v>
      </c>
      <c r="C467" s="5" t="s">
        <v>42</v>
      </c>
      <c r="D467" s="5" t="s">
        <v>90</v>
      </c>
      <c r="E467" s="5">
        <v>11</v>
      </c>
      <c r="F467" s="5">
        <v>629600</v>
      </c>
      <c r="G467" s="5">
        <v>43754</v>
      </c>
      <c r="H467" s="5">
        <f t="shared" si="420"/>
        <v>1.7471410419313849</v>
      </c>
      <c r="I467" s="6">
        <v>2.8499999999999899</v>
      </c>
      <c r="J467" s="5">
        <v>5.6000000000000005</v>
      </c>
      <c r="K467">
        <f t="shared" ref="K467" si="460">G467*$V$2/$R$5</f>
        <v>61017.202468224728</v>
      </c>
      <c r="L467" s="10">
        <v>55</v>
      </c>
      <c r="M467" s="8">
        <f t="shared" si="444"/>
        <v>8.7357052096569259</v>
      </c>
      <c r="N467">
        <v>0.58333333333333337</v>
      </c>
      <c r="O467">
        <v>0.43080000000000002</v>
      </c>
      <c r="P467" s="14">
        <v>255.100819100314</v>
      </c>
    </row>
    <row r="468" spans="1:16" x14ac:dyDescent="0.35">
      <c r="A468" s="5">
        <v>2012</v>
      </c>
      <c r="B468" s="5">
        <v>50</v>
      </c>
      <c r="C468" s="5" t="s">
        <v>42</v>
      </c>
      <c r="D468" s="5" t="s">
        <v>90</v>
      </c>
      <c r="E468" s="5">
        <v>8</v>
      </c>
      <c r="F468" s="5">
        <v>630693</v>
      </c>
      <c r="G468" s="5">
        <v>44858</v>
      </c>
      <c r="H468" s="5">
        <f t="shared" si="420"/>
        <v>1.2684459792640794</v>
      </c>
      <c r="I468" s="6">
        <v>2.9299999999999899</v>
      </c>
      <c r="J468" s="5">
        <v>4.8000000000000007</v>
      </c>
      <c r="K468">
        <f t="shared" ref="K468" si="461">G468*$V$2/$R$6</f>
        <v>61288.453365506073</v>
      </c>
      <c r="L468" s="10">
        <v>55</v>
      </c>
      <c r="M468" s="8">
        <f t="shared" si="444"/>
        <v>8.7205661074405452</v>
      </c>
      <c r="N468">
        <v>0.57471264367816088</v>
      </c>
      <c r="O468">
        <v>0.43919999999999998</v>
      </c>
      <c r="P468" s="14">
        <v>242.34634746007899</v>
      </c>
    </row>
    <row r="469" spans="1:16" x14ac:dyDescent="0.35">
      <c r="A469" s="5">
        <v>2013</v>
      </c>
      <c r="B469" s="5">
        <v>50</v>
      </c>
      <c r="C469" s="5" t="s">
        <v>42</v>
      </c>
      <c r="D469" s="5" t="s">
        <v>90</v>
      </c>
      <c r="E469" s="5">
        <v>10</v>
      </c>
      <c r="F469" s="5">
        <v>632859</v>
      </c>
      <c r="G469" s="5">
        <v>45296</v>
      </c>
      <c r="H469" s="5">
        <f t="shared" si="420"/>
        <v>1.5801308032278913</v>
      </c>
      <c r="I469" s="6">
        <v>3.01</v>
      </c>
      <c r="J469" s="5">
        <v>4.4000000000000004</v>
      </c>
      <c r="K469">
        <f t="shared" ref="K469" si="462">G469*$V$2/$R$7</f>
        <v>60993.474950312724</v>
      </c>
      <c r="L469" s="10">
        <v>70</v>
      </c>
      <c r="M469" s="8">
        <f t="shared" si="444"/>
        <v>11.060915622595237</v>
      </c>
      <c r="N469">
        <v>0.5267857142857143</v>
      </c>
      <c r="O469">
        <v>0.45369999999999999</v>
      </c>
      <c r="P469" s="14">
        <v>251.27592329941999</v>
      </c>
    </row>
    <row r="470" spans="1:16" x14ac:dyDescent="0.35">
      <c r="A470" s="5">
        <v>2014</v>
      </c>
      <c r="B470" s="5">
        <v>50</v>
      </c>
      <c r="C470" s="5" t="s">
        <v>42</v>
      </c>
      <c r="D470" s="5" t="s">
        <v>90</v>
      </c>
      <c r="E470" s="5">
        <v>10</v>
      </c>
      <c r="F470" s="5">
        <v>633872</v>
      </c>
      <c r="G470" s="5">
        <v>46894</v>
      </c>
      <c r="H470" s="5">
        <f t="shared" si="420"/>
        <v>1.5776055733649696</v>
      </c>
      <c r="I470" s="6">
        <v>3.06</v>
      </c>
      <c r="J470" s="5">
        <v>4</v>
      </c>
      <c r="K470">
        <f t="shared" ref="K470" si="463">G470*$V$2/$R$8</f>
        <v>62137.283581711286</v>
      </c>
      <c r="L470" s="10">
        <v>64</v>
      </c>
      <c r="M470" s="8">
        <f t="shared" si="444"/>
        <v>10.096675669535804</v>
      </c>
      <c r="N470">
        <v>0.47580645161290325</v>
      </c>
      <c r="O470">
        <v>0.44059999999999999</v>
      </c>
      <c r="P470" s="14">
        <v>240.65660313523799</v>
      </c>
    </row>
    <row r="471" spans="1:16" x14ac:dyDescent="0.35">
      <c r="A471" s="5">
        <v>2015</v>
      </c>
      <c r="B471" s="5">
        <v>50</v>
      </c>
      <c r="C471" s="5" t="s">
        <v>42</v>
      </c>
      <c r="D471" s="5" t="s">
        <v>90</v>
      </c>
      <c r="E471" s="5">
        <v>10</v>
      </c>
      <c r="F471" s="5">
        <v>635912</v>
      </c>
      <c r="G471" s="5">
        <v>48117</v>
      </c>
      <c r="H471" s="5">
        <f t="shared" si="420"/>
        <v>1.5725446288165659</v>
      </c>
      <c r="I471" s="6">
        <v>3.08</v>
      </c>
      <c r="J471" s="5">
        <v>3.5</v>
      </c>
      <c r="K471">
        <f t="shared" ref="K471" si="464">G471*$V$2/$R$9</f>
        <v>63682.240569241876</v>
      </c>
      <c r="L471" s="10">
        <v>79</v>
      </c>
      <c r="M471" s="8">
        <f t="shared" si="444"/>
        <v>12.42310256765087</v>
      </c>
      <c r="N471">
        <v>0.57281553398058249</v>
      </c>
      <c r="O471">
        <v>0.44519999999999998</v>
      </c>
      <c r="P471" s="14">
        <v>206.26469036312201</v>
      </c>
    </row>
    <row r="472" spans="1:16" x14ac:dyDescent="0.35">
      <c r="A472" s="5">
        <v>2016</v>
      </c>
      <c r="B472" s="5">
        <v>50</v>
      </c>
      <c r="C472" s="5" t="s">
        <v>42</v>
      </c>
      <c r="D472" s="5" t="s">
        <v>90</v>
      </c>
      <c r="E472" s="5">
        <v>14</v>
      </c>
      <c r="F472" s="5">
        <v>636397</v>
      </c>
      <c r="G472" s="5">
        <v>48827</v>
      </c>
      <c r="H472" s="5">
        <f t="shared" si="420"/>
        <v>2.1998846631898012</v>
      </c>
      <c r="I472" s="6">
        <v>3.09</v>
      </c>
      <c r="J472" s="5">
        <v>3.1</v>
      </c>
      <c r="K472">
        <f t="shared" ref="K472" si="465">G472*$V$2/$R$10</f>
        <v>63816.858687454951</v>
      </c>
      <c r="L472" s="10">
        <v>101</v>
      </c>
      <c r="M472" s="8">
        <f t="shared" si="444"/>
        <v>15.870596498726423</v>
      </c>
      <c r="N472">
        <v>0.5847457627118644</v>
      </c>
      <c r="O472">
        <v>0.45390000000000003</v>
      </c>
      <c r="P472" s="14">
        <v>197.062817982263</v>
      </c>
    </row>
    <row r="473" spans="1:16" x14ac:dyDescent="0.35">
      <c r="A473" s="5">
        <v>2017</v>
      </c>
      <c r="B473" s="5">
        <v>50</v>
      </c>
      <c r="C473" s="5" t="s">
        <v>42</v>
      </c>
      <c r="D473" s="5" t="s">
        <v>90</v>
      </c>
      <c r="E473" s="5">
        <v>17</v>
      </c>
      <c r="F473" s="5">
        <v>639087</v>
      </c>
      <c r="G473" s="5">
        <v>50009</v>
      </c>
      <c r="H473" s="5">
        <f t="shared" si="420"/>
        <v>2.6600447200459407</v>
      </c>
      <c r="I473" s="6">
        <v>3.09</v>
      </c>
      <c r="J473" s="5">
        <v>3</v>
      </c>
      <c r="K473">
        <f t="shared" ref="K473" si="466">G473*$V$2/$R$11</f>
        <v>63998.340408779375</v>
      </c>
      <c r="L473" s="10">
        <v>114</v>
      </c>
      <c r="M473" s="8">
        <f t="shared" si="444"/>
        <v>17.837946946190424</v>
      </c>
      <c r="N473">
        <v>0.5535714285714286</v>
      </c>
      <c r="O473">
        <v>0.45250000000000001</v>
      </c>
      <c r="P473" s="14">
        <v>180.01512382834301</v>
      </c>
    </row>
    <row r="474" spans="1:16" x14ac:dyDescent="0.35">
      <c r="A474" s="5">
        <v>2018</v>
      </c>
      <c r="B474" s="5">
        <v>50</v>
      </c>
      <c r="C474" s="5" t="s">
        <v>42</v>
      </c>
      <c r="D474" s="5" t="s">
        <v>90</v>
      </c>
      <c r="E474" s="5">
        <v>11</v>
      </c>
      <c r="F474" s="5">
        <v>640680</v>
      </c>
      <c r="G474" s="5">
        <v>51691</v>
      </c>
      <c r="H474" s="5">
        <f t="shared" si="420"/>
        <v>1.7169257663732285</v>
      </c>
      <c r="I474" s="6">
        <v>3.06</v>
      </c>
      <c r="J474" s="5">
        <v>2.5</v>
      </c>
      <c r="K474">
        <f t="shared" ref="K474" si="467">G474*$V$2/$R$12</f>
        <v>64573.660228508168</v>
      </c>
      <c r="L474" s="10">
        <v>127</v>
      </c>
      <c r="M474" s="8">
        <f t="shared" si="444"/>
        <v>19.822688393581821</v>
      </c>
      <c r="N474">
        <v>0.56000000000000005</v>
      </c>
      <c r="O474">
        <v>0.44729999999999998</v>
      </c>
      <c r="P474" s="14">
        <v>187.890738252023</v>
      </c>
    </row>
    <row r="475" spans="1:16" x14ac:dyDescent="0.35">
      <c r="A475" s="5">
        <v>2008</v>
      </c>
      <c r="B475" s="5">
        <v>51</v>
      </c>
      <c r="C475" s="5" t="s">
        <v>43</v>
      </c>
      <c r="D475" s="5" t="s">
        <v>91</v>
      </c>
      <c r="E475" s="5">
        <v>370</v>
      </c>
      <c r="F475" s="5">
        <v>7833496</v>
      </c>
      <c r="G475" s="5">
        <v>45383</v>
      </c>
      <c r="H475" s="5">
        <f t="shared" si="420"/>
        <v>4.7233061713441868</v>
      </c>
      <c r="I475" s="6">
        <v>2.12</v>
      </c>
      <c r="J475" s="5">
        <v>4.3</v>
      </c>
      <c r="K475">
        <f t="shared" ref="K475" si="468">G475*$V$2/$R$2</f>
        <v>66121.456212872086</v>
      </c>
      <c r="L475" s="10">
        <v>490</v>
      </c>
      <c r="M475" s="8">
        <f t="shared" si="444"/>
        <v>6.2551892539423015</v>
      </c>
      <c r="N475">
        <v>0.5527426160337553</v>
      </c>
      <c r="O475">
        <v>0.46</v>
      </c>
      <c r="P475" s="14">
        <v>490.24</v>
      </c>
    </row>
    <row r="476" spans="1:16" x14ac:dyDescent="0.35">
      <c r="A476" s="5">
        <v>2009</v>
      </c>
      <c r="B476" s="5">
        <v>51</v>
      </c>
      <c r="C476" s="5" t="s">
        <v>43</v>
      </c>
      <c r="D476" s="5" t="s">
        <v>91</v>
      </c>
      <c r="E476" s="5">
        <v>370</v>
      </c>
      <c r="F476" s="5">
        <v>7925937</v>
      </c>
      <c r="G476" s="5">
        <v>44091</v>
      </c>
      <c r="H476" s="5">
        <f t="shared" si="420"/>
        <v>4.6682177766489943</v>
      </c>
      <c r="I476" s="6">
        <v>2.11</v>
      </c>
      <c r="J476" s="5">
        <v>6.8000000000000007</v>
      </c>
      <c r="K476">
        <f t="shared" ref="K476" si="469">G476*$V$2/$R$3</f>
        <v>64468.421293296728</v>
      </c>
      <c r="L476" s="10">
        <v>477</v>
      </c>
      <c r="M476" s="8">
        <f t="shared" si="444"/>
        <v>6.018215890436676</v>
      </c>
      <c r="N476">
        <v>0.54724818276220144</v>
      </c>
      <c r="O476">
        <v>0.45600000000000002</v>
      </c>
      <c r="P476" s="14">
        <v>482.82</v>
      </c>
    </row>
    <row r="477" spans="1:16" x14ac:dyDescent="0.35">
      <c r="A477" s="5">
        <v>2010</v>
      </c>
      <c r="B477" s="5">
        <v>51</v>
      </c>
      <c r="C477" s="5" t="s">
        <v>43</v>
      </c>
      <c r="D477" s="5" t="s">
        <v>91</v>
      </c>
      <c r="E477" s="5">
        <v>376</v>
      </c>
      <c r="F477" s="5">
        <v>8025105</v>
      </c>
      <c r="G477" s="5">
        <v>45442</v>
      </c>
      <c r="H477" s="5">
        <f t="shared" si="420"/>
        <v>4.6852969525009334</v>
      </c>
      <c r="I477" s="6">
        <v>2.12</v>
      </c>
      <c r="J477" s="5">
        <v>7.3000000000000007</v>
      </c>
      <c r="K477">
        <f t="shared" ref="K477" si="470">G477*$V$2/$R$4</f>
        <v>65371.535467953188</v>
      </c>
      <c r="L477" s="10">
        <v>389</v>
      </c>
      <c r="M477" s="8">
        <f t="shared" si="444"/>
        <v>4.8472886024544222</v>
      </c>
      <c r="N477">
        <v>0.59813084112149528</v>
      </c>
      <c r="O477">
        <v>0.45900000000000002</v>
      </c>
      <c r="P477" s="14">
        <v>466.23</v>
      </c>
    </row>
    <row r="478" spans="1:16" x14ac:dyDescent="0.35">
      <c r="A478" s="5">
        <v>2011</v>
      </c>
      <c r="B478" s="5">
        <v>51</v>
      </c>
      <c r="C478" s="5" t="s">
        <v>43</v>
      </c>
      <c r="D478" s="5" t="s">
        <v>91</v>
      </c>
      <c r="E478" s="5">
        <v>304</v>
      </c>
      <c r="F478" s="5">
        <v>8107953</v>
      </c>
      <c r="G478" s="5">
        <v>47563</v>
      </c>
      <c r="H478" s="5">
        <f t="shared" si="420"/>
        <v>3.7494050594521204</v>
      </c>
      <c r="I478" s="6">
        <v>2.12</v>
      </c>
      <c r="J478" s="5">
        <v>6.6000000000000005</v>
      </c>
      <c r="K478">
        <f t="shared" ref="K478" si="471">G478*$V$2/$R$5</f>
        <v>66329.048795451221</v>
      </c>
      <c r="L478" s="10">
        <v>575</v>
      </c>
      <c r="M478" s="8">
        <f t="shared" si="444"/>
        <v>7.0918023328452939</v>
      </c>
      <c r="N478">
        <v>0.57305502846299805</v>
      </c>
      <c r="O478">
        <v>0.4632</v>
      </c>
      <c r="P478" s="14">
        <v>468.04037888562198</v>
      </c>
    </row>
    <row r="479" spans="1:16" x14ac:dyDescent="0.35">
      <c r="A479" s="5">
        <v>2012</v>
      </c>
      <c r="B479" s="5">
        <v>51</v>
      </c>
      <c r="C479" s="5" t="s">
        <v>43</v>
      </c>
      <c r="D479" s="5" t="s">
        <v>91</v>
      </c>
      <c r="E479" s="5">
        <v>322</v>
      </c>
      <c r="F479" s="5">
        <v>8197400</v>
      </c>
      <c r="G479" s="5">
        <v>49049</v>
      </c>
      <c r="H479" s="5">
        <f t="shared" si="420"/>
        <v>3.9280747554102522</v>
      </c>
      <c r="I479" s="6">
        <v>2.13</v>
      </c>
      <c r="J479" s="5">
        <v>5.9</v>
      </c>
      <c r="K479">
        <f t="shared" ref="K479" si="472">G479*$V$2/$R$6</f>
        <v>67014.520244431478</v>
      </c>
      <c r="L479" s="10">
        <v>533</v>
      </c>
      <c r="M479" s="8">
        <f t="shared" si="444"/>
        <v>6.5020616292970947</v>
      </c>
      <c r="N479">
        <v>0.55221072436500473</v>
      </c>
      <c r="O479">
        <v>0.46610000000000001</v>
      </c>
      <c r="P479" s="14">
        <v>450.70359473955301</v>
      </c>
    </row>
    <row r="480" spans="1:16" x14ac:dyDescent="0.35">
      <c r="A480" s="5">
        <v>2013</v>
      </c>
      <c r="B480" s="5">
        <v>51</v>
      </c>
      <c r="C480" s="5" t="s">
        <v>43</v>
      </c>
      <c r="D480" s="5" t="s">
        <v>91</v>
      </c>
      <c r="E480" s="5">
        <v>320</v>
      </c>
      <c r="F480" s="5">
        <v>8270221</v>
      </c>
      <c r="G480" s="5">
        <v>48195</v>
      </c>
      <c r="H480" s="5">
        <f t="shared" si="420"/>
        <v>3.8693040971940174</v>
      </c>
      <c r="I480" s="6">
        <v>2.1</v>
      </c>
      <c r="J480" s="5">
        <v>5.6000000000000005</v>
      </c>
      <c r="K480">
        <f t="shared" ref="K480" si="473">G480*$V$2/$R$7</f>
        <v>64897.132754113423</v>
      </c>
      <c r="L480" s="10">
        <v>640</v>
      </c>
      <c r="M480" s="8">
        <f t="shared" si="444"/>
        <v>7.7386081943880347</v>
      </c>
      <c r="N480">
        <v>0.56063432835820892</v>
      </c>
      <c r="O480">
        <v>0.4672</v>
      </c>
      <c r="P480" s="14">
        <v>445.55187856584899</v>
      </c>
    </row>
    <row r="481" spans="1:16" x14ac:dyDescent="0.35">
      <c r="A481" s="5">
        <v>2014</v>
      </c>
      <c r="B481" s="5">
        <v>51</v>
      </c>
      <c r="C481" s="5" t="s">
        <v>43</v>
      </c>
      <c r="D481" s="5" t="s">
        <v>91</v>
      </c>
      <c r="E481" s="5">
        <v>350</v>
      </c>
      <c r="F481" s="5">
        <v>8334206</v>
      </c>
      <c r="G481" s="5">
        <v>49760</v>
      </c>
      <c r="H481" s="5">
        <f t="shared" si="420"/>
        <v>4.1995602220535462</v>
      </c>
      <c r="I481" s="6">
        <v>2.11</v>
      </c>
      <c r="J481" s="5">
        <v>5.1000000000000005</v>
      </c>
      <c r="K481">
        <f t="shared" ref="K481" si="474">G481*$V$2/$R$8</f>
        <v>65934.900648824012</v>
      </c>
      <c r="L481" s="10">
        <v>758</v>
      </c>
      <c r="M481" s="8">
        <f t="shared" si="444"/>
        <v>9.095047566618824</v>
      </c>
      <c r="N481">
        <v>0.55743544078361529</v>
      </c>
      <c r="O481">
        <v>0.46579999999999999</v>
      </c>
      <c r="P481" s="14">
        <v>449.16333399213198</v>
      </c>
    </row>
    <row r="482" spans="1:16" x14ac:dyDescent="0.35">
      <c r="A482" s="5">
        <v>2015</v>
      </c>
      <c r="B482" s="5">
        <v>51</v>
      </c>
      <c r="C482" s="5" t="s">
        <v>43</v>
      </c>
      <c r="D482" s="5" t="s">
        <v>91</v>
      </c>
      <c r="E482" s="5">
        <v>390</v>
      </c>
      <c r="F482" s="5">
        <v>8390494</v>
      </c>
      <c r="G482" s="5">
        <v>51617</v>
      </c>
      <c r="H482" s="5">
        <f t="shared" si="420"/>
        <v>4.6481172622255613</v>
      </c>
      <c r="I482" s="6">
        <v>2.13</v>
      </c>
      <c r="J482" s="5">
        <v>4.4000000000000004</v>
      </c>
      <c r="K482">
        <f t="shared" ref="K482" si="475">G482*$V$2/$R$9</f>
        <v>68314.446276005532</v>
      </c>
      <c r="L482" s="10">
        <v>820</v>
      </c>
      <c r="M482" s="8">
        <f t="shared" si="444"/>
        <v>9.7729645000640009</v>
      </c>
      <c r="N482">
        <v>0.56350626118067981</v>
      </c>
      <c r="O482">
        <v>0.46810000000000002</v>
      </c>
      <c r="P482" s="14">
        <v>457.68038527957401</v>
      </c>
    </row>
    <row r="483" spans="1:16" x14ac:dyDescent="0.35">
      <c r="A483" s="5">
        <v>2016</v>
      </c>
      <c r="B483" s="5">
        <v>51</v>
      </c>
      <c r="C483" s="5" t="s">
        <v>43</v>
      </c>
      <c r="D483" s="5" t="s">
        <v>91</v>
      </c>
      <c r="E483" s="5">
        <v>482</v>
      </c>
      <c r="F483" s="5">
        <v>8445270</v>
      </c>
      <c r="G483" s="5">
        <v>52656</v>
      </c>
      <c r="H483" s="5">
        <f t="shared" si="420"/>
        <v>5.7073367695763428</v>
      </c>
      <c r="I483" s="6">
        <v>2.14</v>
      </c>
      <c r="J483" s="5">
        <v>4</v>
      </c>
      <c r="K483">
        <f t="shared" ref="K483" si="476">G483*$V$2/$R$10</f>
        <v>68821.359310353451</v>
      </c>
      <c r="L483" s="10">
        <v>1130</v>
      </c>
      <c r="M483" s="8">
        <f t="shared" si="444"/>
        <v>13.380270849836654</v>
      </c>
      <c r="N483">
        <v>0.57547169811320753</v>
      </c>
      <c r="O483">
        <v>0.47049999999999997</v>
      </c>
      <c r="P483" s="14">
        <v>447.785231720242</v>
      </c>
    </row>
    <row r="484" spans="1:16" x14ac:dyDescent="0.35">
      <c r="A484" s="5">
        <v>2017</v>
      </c>
      <c r="B484" s="5">
        <v>51</v>
      </c>
      <c r="C484" s="5" t="s">
        <v>43</v>
      </c>
      <c r="D484" s="5" t="s">
        <v>91</v>
      </c>
      <c r="E484" s="5">
        <v>470</v>
      </c>
      <c r="F484" s="5">
        <v>8503046</v>
      </c>
      <c r="G484" s="5">
        <v>54377</v>
      </c>
      <c r="H484" s="5">
        <f t="shared" si="420"/>
        <v>5.5274309935521933</v>
      </c>
      <c r="I484" s="6">
        <v>2.13</v>
      </c>
      <c r="J484" s="5">
        <v>3.7</v>
      </c>
      <c r="K484">
        <f t="shared" ref="K484" si="477">G484*$V$2/$R$11</f>
        <v>69588.229246899486</v>
      </c>
      <c r="L484" s="10">
        <v>1241</v>
      </c>
      <c r="M484" s="8">
        <f t="shared" si="444"/>
        <v>14.594769921272917</v>
      </c>
      <c r="N484">
        <v>0.56997455470737912</v>
      </c>
      <c r="O484">
        <v>0.46739999999999998</v>
      </c>
      <c r="P484" s="14">
        <v>437.52154020581298</v>
      </c>
    </row>
    <row r="485" spans="1:16" x14ac:dyDescent="0.35">
      <c r="A485" s="5">
        <v>2018</v>
      </c>
      <c r="B485" s="5">
        <v>51</v>
      </c>
      <c r="C485" s="5" t="s">
        <v>43</v>
      </c>
      <c r="D485" s="5" t="s">
        <v>91</v>
      </c>
      <c r="E485" s="5">
        <v>417</v>
      </c>
      <c r="F485" s="5">
        <v>8547370</v>
      </c>
      <c r="G485" s="5">
        <v>56130</v>
      </c>
      <c r="H485" s="5">
        <f t="shared" si="420"/>
        <v>4.8786936800442708</v>
      </c>
      <c r="I485" s="6">
        <v>2.13</v>
      </c>
      <c r="J485" s="5">
        <v>3</v>
      </c>
      <c r="K485">
        <f t="shared" ref="K485" si="478">G485*$V$2/$R$12</f>
        <v>70118.967491945659</v>
      </c>
      <c r="L485" s="10">
        <v>1193</v>
      </c>
      <c r="M485" s="8">
        <f t="shared" si="444"/>
        <v>13.957509736913225</v>
      </c>
      <c r="N485">
        <v>0.54625905068382941</v>
      </c>
      <c r="O485">
        <v>0.47539999999999999</v>
      </c>
      <c r="P485" s="14">
        <v>430.27113536768798</v>
      </c>
    </row>
    <row r="486" spans="1:16" x14ac:dyDescent="0.35">
      <c r="A486" s="5">
        <v>2008</v>
      </c>
      <c r="B486" s="5">
        <v>53</v>
      </c>
      <c r="C486" s="5" t="s">
        <v>44</v>
      </c>
      <c r="D486" s="5" t="s">
        <v>92</v>
      </c>
      <c r="E486" s="5">
        <v>193</v>
      </c>
      <c r="F486" s="5">
        <v>6562231</v>
      </c>
      <c r="G486" s="5">
        <v>44098</v>
      </c>
      <c r="H486" s="5">
        <f t="shared" si="420"/>
        <v>2.9410729369325765</v>
      </c>
      <c r="I486" s="6">
        <v>2.3699999999999899</v>
      </c>
      <c r="J486" s="5">
        <v>5.2</v>
      </c>
      <c r="K486">
        <f t="shared" ref="K486" si="479">G486*$V$2/$R$2</f>
        <v>64249.255802287946</v>
      </c>
      <c r="L486" s="10">
        <v>690</v>
      </c>
      <c r="M486" s="8">
        <f t="shared" si="444"/>
        <v>10.514716717530975</v>
      </c>
      <c r="N486">
        <v>0.49381327334083241</v>
      </c>
      <c r="O486">
        <v>0.442</v>
      </c>
      <c r="P486" s="14">
        <v>273.01</v>
      </c>
    </row>
    <row r="487" spans="1:16" x14ac:dyDescent="0.35">
      <c r="A487" s="5">
        <v>2009</v>
      </c>
      <c r="B487" s="5">
        <v>53</v>
      </c>
      <c r="C487" s="5" t="s">
        <v>44</v>
      </c>
      <c r="D487" s="5" t="s">
        <v>92</v>
      </c>
      <c r="E487" s="5">
        <v>190</v>
      </c>
      <c r="F487" s="5">
        <v>6667426</v>
      </c>
      <c r="G487" s="5">
        <v>41679</v>
      </c>
      <c r="H487" s="5">
        <f t="shared" si="420"/>
        <v>2.8496754219694376</v>
      </c>
      <c r="I487" s="6">
        <v>2.34</v>
      </c>
      <c r="J487" s="5">
        <v>8.3000000000000007</v>
      </c>
      <c r="K487">
        <f t="shared" ref="K487" si="480">G487*$V$2/$R$3</f>
        <v>60941.67360874814</v>
      </c>
      <c r="L487" s="10">
        <v>708</v>
      </c>
      <c r="M487" s="8">
        <f t="shared" si="444"/>
        <v>10.6187905197598</v>
      </c>
      <c r="N487">
        <v>0.51031487513572205</v>
      </c>
      <c r="O487">
        <v>0.439</v>
      </c>
      <c r="P487" s="14">
        <v>273.08999999999997</v>
      </c>
    </row>
    <row r="488" spans="1:16" x14ac:dyDescent="0.35">
      <c r="A488" s="5">
        <v>2010</v>
      </c>
      <c r="B488" s="5">
        <v>53</v>
      </c>
      <c r="C488" s="5" t="s">
        <v>44</v>
      </c>
      <c r="D488" s="5" t="s">
        <v>92</v>
      </c>
      <c r="E488" s="5">
        <v>154</v>
      </c>
      <c r="F488" s="5">
        <v>6743680</v>
      </c>
      <c r="G488" s="5">
        <v>42327</v>
      </c>
      <c r="H488" s="5">
        <f t="shared" si="420"/>
        <v>2.2836196260795294</v>
      </c>
      <c r="I488" s="6">
        <v>2.25</v>
      </c>
      <c r="J488" s="5">
        <v>9.1</v>
      </c>
      <c r="K488">
        <f t="shared" ref="K488" si="481">G488*$V$2/$R$4</f>
        <v>60890.387345452546</v>
      </c>
      <c r="L488" s="10">
        <v>628</v>
      </c>
      <c r="M488" s="8">
        <f t="shared" si="444"/>
        <v>9.3124228907658715</v>
      </c>
      <c r="N488">
        <v>0.48484848484848486</v>
      </c>
      <c r="O488">
        <v>0.441</v>
      </c>
      <c r="P488" s="14">
        <v>270.08999999999997</v>
      </c>
    </row>
    <row r="489" spans="1:16" x14ac:dyDescent="0.35">
      <c r="A489" s="5">
        <v>2011</v>
      </c>
      <c r="B489" s="5">
        <v>53</v>
      </c>
      <c r="C489" s="5" t="s">
        <v>44</v>
      </c>
      <c r="D489" s="5" t="s">
        <v>92</v>
      </c>
      <c r="E489" s="5">
        <v>163</v>
      </c>
      <c r="F489" s="5">
        <v>6830840</v>
      </c>
      <c r="G489" s="5">
        <v>44279</v>
      </c>
      <c r="H489" s="5">
        <f t="shared" si="420"/>
        <v>2.3862365389908122</v>
      </c>
      <c r="I489" s="6">
        <v>2.25</v>
      </c>
      <c r="J489" s="5">
        <v>8.5</v>
      </c>
      <c r="K489">
        <f t="shared" ref="K489" si="482">G489*$V$2/$R$5</f>
        <v>61749.341959375655</v>
      </c>
      <c r="L489" s="10">
        <v>697</v>
      </c>
      <c r="M489" s="8">
        <f t="shared" si="444"/>
        <v>10.203723114580344</v>
      </c>
      <c r="N489">
        <v>0.48481880509304603</v>
      </c>
      <c r="O489">
        <v>0.44490000000000002</v>
      </c>
      <c r="P489" s="14">
        <v>259.53875614069</v>
      </c>
    </row>
    <row r="490" spans="1:16" x14ac:dyDescent="0.35">
      <c r="A490" s="5">
        <v>2012</v>
      </c>
      <c r="B490" s="5">
        <v>53</v>
      </c>
      <c r="C490" s="5" t="s">
        <v>44</v>
      </c>
      <c r="D490" s="5" t="s">
        <v>92</v>
      </c>
      <c r="E490" s="5">
        <v>217</v>
      </c>
      <c r="F490" s="5">
        <v>6904658</v>
      </c>
      <c r="G490" s="5">
        <v>47053</v>
      </c>
      <c r="H490" s="5">
        <f t="shared" si="420"/>
        <v>3.142805914500038</v>
      </c>
      <c r="I490" s="6">
        <v>2.2599999999999998</v>
      </c>
      <c r="J490" s="5">
        <v>7.7</v>
      </c>
      <c r="K490">
        <f t="shared" ref="K490" si="483">G490*$V$2/$R$6</f>
        <v>64287.431365802251</v>
      </c>
      <c r="L490" s="10">
        <v>695</v>
      </c>
      <c r="M490" s="8">
        <f t="shared" si="444"/>
        <v>10.065668712338828</v>
      </c>
      <c r="N490">
        <v>0.50963391136801539</v>
      </c>
      <c r="O490">
        <v>0.44979999999999998</v>
      </c>
      <c r="P490" s="14">
        <v>249.03185151154699</v>
      </c>
    </row>
    <row r="491" spans="1:16" x14ac:dyDescent="0.35">
      <c r="A491" s="5">
        <v>2013</v>
      </c>
      <c r="B491" s="5">
        <v>53</v>
      </c>
      <c r="C491" s="5" t="s">
        <v>44</v>
      </c>
      <c r="D491" s="5" t="s">
        <v>92</v>
      </c>
      <c r="E491" s="5">
        <v>167</v>
      </c>
      <c r="F491" s="5">
        <v>6975001</v>
      </c>
      <c r="G491" s="5">
        <v>47448</v>
      </c>
      <c r="H491" s="5">
        <f t="shared" si="420"/>
        <v>2.3942648897111267</v>
      </c>
      <c r="I491" s="6">
        <v>2.2400000000000002</v>
      </c>
      <c r="J491" s="5">
        <v>6.6000000000000005</v>
      </c>
      <c r="K491">
        <f t="shared" ref="K491" si="484">G491*$V$2/$R$7</f>
        <v>63891.257493872261</v>
      </c>
      <c r="L491" s="10">
        <v>640</v>
      </c>
      <c r="M491" s="8">
        <f t="shared" si="444"/>
        <v>9.1756259246414444</v>
      </c>
      <c r="N491">
        <v>0.47030185004868547</v>
      </c>
      <c r="O491">
        <v>0.4572</v>
      </c>
      <c r="P491" s="14">
        <v>255.68262359691201</v>
      </c>
    </row>
    <row r="492" spans="1:16" x14ac:dyDescent="0.35">
      <c r="A492" s="5">
        <v>2014</v>
      </c>
      <c r="B492" s="5">
        <v>53</v>
      </c>
      <c r="C492" s="5" t="s">
        <v>44</v>
      </c>
      <c r="D492" s="5" t="s">
        <v>92</v>
      </c>
      <c r="E492" s="5">
        <v>178</v>
      </c>
      <c r="F492" s="5">
        <v>7068971</v>
      </c>
      <c r="G492" s="5">
        <v>50259</v>
      </c>
      <c r="H492" s="5">
        <f t="shared" si="420"/>
        <v>2.5180468274661192</v>
      </c>
      <c r="I492" s="6">
        <v>2.2599999999999998</v>
      </c>
      <c r="J492" s="5">
        <v>5.9</v>
      </c>
      <c r="K492">
        <f t="shared" ref="K492" si="485">G492*$V$2/$R$8</f>
        <v>66596.104736922149</v>
      </c>
      <c r="L492" s="10">
        <v>673</v>
      </c>
      <c r="M492" s="8">
        <f t="shared" si="444"/>
        <v>9.5204804207005527</v>
      </c>
      <c r="N492">
        <v>0.49240393208221628</v>
      </c>
      <c r="O492">
        <v>0.45419999999999999</v>
      </c>
      <c r="P492" s="14">
        <v>253.561512475038</v>
      </c>
    </row>
    <row r="493" spans="1:16" x14ac:dyDescent="0.35">
      <c r="A493" s="5">
        <v>2015</v>
      </c>
      <c r="B493" s="5">
        <v>53</v>
      </c>
      <c r="C493" s="5" t="s">
        <v>44</v>
      </c>
      <c r="D493" s="5" t="s">
        <v>92</v>
      </c>
      <c r="E493" s="5">
        <v>218</v>
      </c>
      <c r="F493" s="5">
        <v>7181417</v>
      </c>
      <c r="G493" s="5">
        <v>52408</v>
      </c>
      <c r="H493" s="5">
        <f t="shared" ref="H493:H529" si="486">E493/F493*100000</f>
        <v>3.0356126096005847</v>
      </c>
      <c r="I493" s="6">
        <v>2.2599999999999998</v>
      </c>
      <c r="J493" s="5">
        <v>5.4</v>
      </c>
      <c r="K493">
        <f t="shared" ref="K493" si="487">G493*$V$2/$R$9</f>
        <v>69361.324765734113</v>
      </c>
      <c r="L493" s="10">
        <v>692</v>
      </c>
      <c r="M493" s="8">
        <f t="shared" si="444"/>
        <v>9.6359813112091945</v>
      </c>
      <c r="N493">
        <v>0.47229551451187335</v>
      </c>
      <c r="O493">
        <v>0.45610000000000001</v>
      </c>
      <c r="P493" s="14">
        <v>251.968970377695</v>
      </c>
    </row>
    <row r="494" spans="1:16" x14ac:dyDescent="0.35">
      <c r="A494" s="5">
        <v>2016</v>
      </c>
      <c r="B494" s="5">
        <v>53</v>
      </c>
      <c r="C494" s="5" t="s">
        <v>44</v>
      </c>
      <c r="D494" s="5" t="s">
        <v>92</v>
      </c>
      <c r="E494" s="5">
        <v>195</v>
      </c>
      <c r="F494" s="5">
        <v>7316788</v>
      </c>
      <c r="G494" s="5">
        <v>54296</v>
      </c>
      <c r="H494" s="5">
        <f t="shared" si="486"/>
        <v>2.665103867981415</v>
      </c>
      <c r="I494" s="6">
        <v>2.2599999999999998</v>
      </c>
      <c r="J494" s="5">
        <v>5.2</v>
      </c>
      <c r="K494">
        <f t="shared" ref="K494" si="488">G494*$V$2/$R$10</f>
        <v>70964.838292216489</v>
      </c>
      <c r="L494" s="10">
        <v>709</v>
      </c>
      <c r="M494" s="8">
        <f t="shared" si="444"/>
        <v>9.6900443199939641</v>
      </c>
      <c r="N494">
        <v>0.45135845749342685</v>
      </c>
      <c r="O494">
        <v>0.45910000000000001</v>
      </c>
      <c r="P494" s="14">
        <v>258.928957975336</v>
      </c>
    </row>
    <row r="495" spans="1:16" x14ac:dyDescent="0.35">
      <c r="A495" s="5">
        <v>2017</v>
      </c>
      <c r="B495" s="5">
        <v>53</v>
      </c>
      <c r="C495" s="5" t="s">
        <v>44</v>
      </c>
      <c r="D495" s="5" t="s">
        <v>92</v>
      </c>
      <c r="E495" s="5">
        <v>226</v>
      </c>
      <c r="F495" s="5">
        <v>7447469</v>
      </c>
      <c r="G495" s="5">
        <v>56800</v>
      </c>
      <c r="H495" s="5">
        <f t="shared" si="486"/>
        <v>3.0345879922427335</v>
      </c>
      <c r="I495" s="6">
        <v>2.23</v>
      </c>
      <c r="J495" s="5">
        <v>4.6000000000000005</v>
      </c>
      <c r="K495">
        <f t="shared" ref="K495" si="489">G495*$V$2/$R$11</f>
        <v>72689.030678851181</v>
      </c>
      <c r="L495" s="10">
        <v>742</v>
      </c>
      <c r="M495" s="8">
        <f t="shared" si="444"/>
        <v>9.9631163285137543</v>
      </c>
      <c r="N495">
        <v>0.49267540478026212</v>
      </c>
      <c r="O495">
        <v>0.45610000000000001</v>
      </c>
      <c r="P495" s="14">
        <v>261.17167172191103</v>
      </c>
    </row>
    <row r="496" spans="1:16" x14ac:dyDescent="0.35">
      <c r="A496" s="5">
        <v>2018</v>
      </c>
      <c r="B496" s="5">
        <v>53</v>
      </c>
      <c r="C496" s="5" t="s">
        <v>44</v>
      </c>
      <c r="D496" s="5" t="s">
        <v>92</v>
      </c>
      <c r="E496" s="5">
        <v>236</v>
      </c>
      <c r="F496" s="5">
        <v>7549002</v>
      </c>
      <c r="G496" s="5">
        <v>59824</v>
      </c>
      <c r="H496" s="5">
        <f t="shared" si="486"/>
        <v>3.126241058089533</v>
      </c>
      <c r="I496" s="6">
        <v>2.2200000000000002</v>
      </c>
      <c r="J496" s="5">
        <v>4.4000000000000004</v>
      </c>
      <c r="K496">
        <f t="shared" ref="K496" si="490">G496*$V$2/$R$12</f>
        <v>74733.602551900185</v>
      </c>
      <c r="L496" s="10">
        <v>737</v>
      </c>
      <c r="M496" s="8">
        <f t="shared" si="444"/>
        <v>9.7628799144575655</v>
      </c>
      <c r="N496">
        <v>0.47843450479233229</v>
      </c>
      <c r="O496">
        <v>0.45739999999999997</v>
      </c>
      <c r="P496" s="14">
        <v>256.35129214497499</v>
      </c>
    </row>
    <row r="497" spans="1:16" x14ac:dyDescent="0.35">
      <c r="A497" s="5">
        <v>2008</v>
      </c>
      <c r="B497" s="5">
        <v>54</v>
      </c>
      <c r="C497" s="5" t="s">
        <v>45</v>
      </c>
      <c r="D497" s="5" t="s">
        <v>93</v>
      </c>
      <c r="E497" s="5">
        <v>67</v>
      </c>
      <c r="F497" s="5">
        <v>1840310</v>
      </c>
      <c r="G497" s="5">
        <v>31494</v>
      </c>
      <c r="H497" s="5">
        <f t="shared" si="486"/>
        <v>3.6406909705430062</v>
      </c>
      <c r="I497" s="6">
        <v>1.79</v>
      </c>
      <c r="J497" s="5">
        <v>4.7</v>
      </c>
      <c r="K497">
        <f t="shared" ref="K497" si="491">G497*$V$2/$R$2</f>
        <v>45885.665160262513</v>
      </c>
      <c r="L497" s="10">
        <v>371</v>
      </c>
      <c r="M497" s="8">
        <f t="shared" si="444"/>
        <v>20.159647015991872</v>
      </c>
      <c r="N497">
        <v>0.65900383141762453</v>
      </c>
      <c r="O497">
        <v>0.45300000000000001</v>
      </c>
      <c r="P497" s="14">
        <v>331.65</v>
      </c>
    </row>
    <row r="498" spans="1:16" x14ac:dyDescent="0.35">
      <c r="A498" s="5">
        <v>2009</v>
      </c>
      <c r="B498" s="5">
        <v>54</v>
      </c>
      <c r="C498" s="5" t="s">
        <v>45</v>
      </c>
      <c r="D498" s="5" t="s">
        <v>93</v>
      </c>
      <c r="E498" s="5">
        <v>84</v>
      </c>
      <c r="F498" s="5">
        <v>1847775</v>
      </c>
      <c r="G498" s="5">
        <v>31653</v>
      </c>
      <c r="H498" s="5">
        <f t="shared" si="486"/>
        <v>4.5460080366927791</v>
      </c>
      <c r="I498" s="6">
        <v>1.77</v>
      </c>
      <c r="J498" s="5">
        <v>8.3000000000000007</v>
      </c>
      <c r="K498">
        <f t="shared" ref="K498" si="492">G498*$V$2/$R$3</f>
        <v>46281.983606557384</v>
      </c>
      <c r="L498" s="10">
        <f>(L497+L499)/2</f>
        <v>411</v>
      </c>
      <c r="M498" s="8">
        <f t="shared" si="444"/>
        <v>22.242967893818239</v>
      </c>
      <c r="N498">
        <v>0.70355731225296447</v>
      </c>
      <c r="O498">
        <v>0.46300000000000002</v>
      </c>
      <c r="P498" s="14">
        <v>346.91</v>
      </c>
    </row>
    <row r="499" spans="1:16" x14ac:dyDescent="0.35">
      <c r="A499" s="5">
        <v>2010</v>
      </c>
      <c r="B499" s="5">
        <v>54</v>
      </c>
      <c r="C499" s="5" t="s">
        <v>45</v>
      </c>
      <c r="D499" s="5" t="s">
        <v>93</v>
      </c>
      <c r="E499" s="5">
        <v>58</v>
      </c>
      <c r="F499" s="5">
        <v>1854404</v>
      </c>
      <c r="G499" s="5">
        <v>32642</v>
      </c>
      <c r="H499" s="5">
        <f t="shared" si="486"/>
        <v>3.1276895433788967</v>
      </c>
      <c r="I499" s="6">
        <v>1.78</v>
      </c>
      <c r="J499" s="5">
        <v>8.7000000000000011</v>
      </c>
      <c r="K499">
        <f t="shared" ref="K499" si="493">G499*$V$2/$R$4</f>
        <v>46957.828897164036</v>
      </c>
      <c r="L499" s="10">
        <v>451</v>
      </c>
      <c r="M499" s="8">
        <f t="shared" si="444"/>
        <v>24.320482483860044</v>
      </c>
      <c r="N499">
        <v>0.75268817204301075</v>
      </c>
      <c r="O499">
        <v>0.45100000000000001</v>
      </c>
      <c r="P499" s="14">
        <v>358.18</v>
      </c>
    </row>
    <row r="500" spans="1:16" x14ac:dyDescent="0.35">
      <c r="A500" s="5">
        <v>2011</v>
      </c>
      <c r="B500" s="5">
        <v>54</v>
      </c>
      <c r="C500" s="5" t="s">
        <v>45</v>
      </c>
      <c r="D500" s="5" t="s">
        <v>93</v>
      </c>
      <c r="E500" s="5">
        <v>87</v>
      </c>
      <c r="F500" s="5">
        <v>1857305</v>
      </c>
      <c r="G500" s="5">
        <v>34490</v>
      </c>
      <c r="H500" s="5">
        <f t="shared" si="486"/>
        <v>4.6842064173627911</v>
      </c>
      <c r="I500" s="6">
        <v>1.78</v>
      </c>
      <c r="J500" s="5">
        <v>7.8000000000000007</v>
      </c>
      <c r="K500">
        <f t="shared" ref="K500" si="494">G500*$V$2/$R$5</f>
        <v>48098.078190087101</v>
      </c>
      <c r="L500" s="10">
        <v>550</v>
      </c>
      <c r="M500" s="8">
        <f t="shared" si="444"/>
        <v>29.612799190224543</v>
      </c>
      <c r="N500">
        <v>0.65359477124183007</v>
      </c>
      <c r="O500">
        <v>0.47210000000000002</v>
      </c>
      <c r="P500" s="14">
        <v>366.636360647733</v>
      </c>
    </row>
    <row r="501" spans="1:16" x14ac:dyDescent="0.35">
      <c r="A501" s="5">
        <v>2012</v>
      </c>
      <c r="B501" s="5">
        <v>54</v>
      </c>
      <c r="C501" s="5" t="s">
        <v>45</v>
      </c>
      <c r="D501" s="5" t="s">
        <v>93</v>
      </c>
      <c r="E501" s="5">
        <v>70</v>
      </c>
      <c r="F501" s="5">
        <v>1858706</v>
      </c>
      <c r="G501" s="5">
        <v>35233</v>
      </c>
      <c r="H501" s="5">
        <f t="shared" si="486"/>
        <v>3.7660609047369511</v>
      </c>
      <c r="I501" s="6">
        <v>1.8</v>
      </c>
      <c r="J501" s="5">
        <v>7.2</v>
      </c>
      <c r="K501">
        <f t="shared" ref="K501" si="495">G501*$V$2/$R$6</f>
        <v>48138.037304981837</v>
      </c>
      <c r="L501" s="10">
        <v>468</v>
      </c>
      <c r="M501" s="8">
        <f t="shared" si="444"/>
        <v>25.1788071916699</v>
      </c>
      <c r="N501">
        <v>0.6073619631901841</v>
      </c>
      <c r="O501">
        <v>0.46379999999999999</v>
      </c>
      <c r="P501" s="14">
        <v>378.45351624624999</v>
      </c>
    </row>
    <row r="502" spans="1:16" x14ac:dyDescent="0.35">
      <c r="A502" s="5">
        <v>2013</v>
      </c>
      <c r="B502" s="5">
        <v>54</v>
      </c>
      <c r="C502" s="5" t="s">
        <v>45</v>
      </c>
      <c r="D502" s="5" t="s">
        <v>93</v>
      </c>
      <c r="E502" s="5">
        <v>62</v>
      </c>
      <c r="F502" s="5">
        <v>1856588</v>
      </c>
      <c r="G502" s="5">
        <v>35093</v>
      </c>
      <c r="H502" s="5">
        <f t="shared" si="486"/>
        <v>3.3394592661376672</v>
      </c>
      <c r="I502" s="6">
        <v>1.8</v>
      </c>
      <c r="J502" s="5">
        <v>6.7</v>
      </c>
      <c r="K502">
        <f t="shared" ref="K502" si="496">G502*$V$2/$R$7</f>
        <v>47254.592379709567</v>
      </c>
      <c r="L502" s="10">
        <v>490</v>
      </c>
      <c r="M502" s="8">
        <f t="shared" si="444"/>
        <v>26.392500651733179</v>
      </c>
      <c r="N502">
        <v>0.69659442724458209</v>
      </c>
      <c r="O502">
        <v>0.4647</v>
      </c>
      <c r="P502" s="14">
        <v>367.74232556532598</v>
      </c>
    </row>
    <row r="503" spans="1:16" x14ac:dyDescent="0.35">
      <c r="A503" s="5">
        <v>2014</v>
      </c>
      <c r="B503" s="5">
        <v>54</v>
      </c>
      <c r="C503" s="5" t="s">
        <v>45</v>
      </c>
      <c r="D503" s="5" t="s">
        <v>93</v>
      </c>
      <c r="E503" s="5">
        <v>84</v>
      </c>
      <c r="F503" s="5">
        <v>1852948</v>
      </c>
      <c r="G503" s="5">
        <v>36243</v>
      </c>
      <c r="H503" s="5">
        <f t="shared" si="486"/>
        <v>4.5333166392149158</v>
      </c>
      <c r="I503" s="6">
        <v>1.78</v>
      </c>
      <c r="J503" s="5">
        <v>6.5</v>
      </c>
      <c r="K503">
        <f t="shared" ref="K503" si="497">G503*$V$2/$R$8</f>
        <v>48024.087705291975</v>
      </c>
      <c r="L503" s="10">
        <v>554</v>
      </c>
      <c r="M503" s="8">
        <f t="shared" si="444"/>
        <v>29.898302596726946</v>
      </c>
      <c r="N503">
        <v>0.6044568245125348</v>
      </c>
      <c r="O503">
        <v>0.4546</v>
      </c>
      <c r="P503" s="14">
        <v>372.51377775852899</v>
      </c>
    </row>
    <row r="504" spans="1:16" x14ac:dyDescent="0.35">
      <c r="A504" s="5">
        <v>2015</v>
      </c>
      <c r="B504" s="5">
        <v>54</v>
      </c>
      <c r="C504" s="5" t="s">
        <v>45</v>
      </c>
      <c r="D504" s="5" t="s">
        <v>93</v>
      </c>
      <c r="E504" s="5">
        <v>85</v>
      </c>
      <c r="F504" s="5">
        <v>1846270</v>
      </c>
      <c r="G504" s="5">
        <v>37068</v>
      </c>
      <c r="H504" s="5">
        <f t="shared" si="486"/>
        <v>4.6038770060717011</v>
      </c>
      <c r="I504" s="6">
        <v>1.78</v>
      </c>
      <c r="J504" s="5">
        <v>6.6000000000000005</v>
      </c>
      <c r="K504">
        <f t="shared" ref="K504" si="498">G504*$V$2/$R$9</f>
        <v>49059.028896661424</v>
      </c>
      <c r="L504" s="10">
        <v>629</v>
      </c>
      <c r="M504" s="8">
        <f t="shared" si="444"/>
        <v>34.068689844930589</v>
      </c>
      <c r="N504">
        <v>0.63235294117647056</v>
      </c>
      <c r="O504">
        <v>0.45810000000000001</v>
      </c>
      <c r="P504" s="14">
        <v>387.62222788571103</v>
      </c>
    </row>
    <row r="505" spans="1:16" x14ac:dyDescent="0.35">
      <c r="A505" s="5">
        <v>2016</v>
      </c>
      <c r="B505" s="5">
        <v>54</v>
      </c>
      <c r="C505" s="5" t="s">
        <v>45</v>
      </c>
      <c r="D505" s="5" t="s">
        <v>93</v>
      </c>
      <c r="E505" s="5">
        <v>85</v>
      </c>
      <c r="F505" s="5">
        <v>1835935</v>
      </c>
      <c r="G505" s="5">
        <v>37075</v>
      </c>
      <c r="H505" s="5">
        <f t="shared" si="486"/>
        <v>4.6297935384422653</v>
      </c>
      <c r="I505" s="6">
        <v>1.76</v>
      </c>
      <c r="J505" s="5">
        <v>6.1000000000000005</v>
      </c>
      <c r="K505">
        <f t="shared" ref="K505" si="499">G505*$V$2/$R$10</f>
        <v>48457.001983275492</v>
      </c>
      <c r="L505" s="10">
        <v>733</v>
      </c>
      <c r="M505" s="8">
        <f t="shared" si="444"/>
        <v>39.925160749155069</v>
      </c>
      <c r="N505">
        <v>0.65745856353591159</v>
      </c>
      <c r="O505">
        <v>0.47110000000000002</v>
      </c>
      <c r="P505" s="14">
        <v>392.92019473743699</v>
      </c>
    </row>
    <row r="506" spans="1:16" x14ac:dyDescent="0.35">
      <c r="A506" s="5">
        <v>2017</v>
      </c>
      <c r="B506" s="5">
        <v>54</v>
      </c>
      <c r="C506" s="5" t="s">
        <v>45</v>
      </c>
      <c r="D506" s="5" t="s">
        <v>93</v>
      </c>
      <c r="E506" s="5">
        <v>98</v>
      </c>
      <c r="F506" s="5">
        <v>1822742</v>
      </c>
      <c r="G506" s="5">
        <v>38841</v>
      </c>
      <c r="H506" s="5">
        <f t="shared" si="486"/>
        <v>5.3765151623213816</v>
      </c>
      <c r="I506" s="6">
        <v>1.74</v>
      </c>
      <c r="J506" s="5">
        <v>5.2</v>
      </c>
      <c r="K506">
        <f t="shared" ref="K506" si="500">G506*$V$2/$R$11</f>
        <v>49706.243672486948</v>
      </c>
      <c r="L506" s="10">
        <v>833</v>
      </c>
      <c r="M506" s="8">
        <f t="shared" si="444"/>
        <v>45.700378879731744</v>
      </c>
      <c r="N506">
        <v>0.67938931297709926</v>
      </c>
      <c r="O506">
        <v>0.46860000000000002</v>
      </c>
      <c r="P506" s="14">
        <v>391.45013730008702</v>
      </c>
    </row>
    <row r="507" spans="1:16" x14ac:dyDescent="0.35">
      <c r="A507" s="5">
        <v>2018</v>
      </c>
      <c r="B507" s="5">
        <v>54</v>
      </c>
      <c r="C507" s="5" t="s">
        <v>45</v>
      </c>
      <c r="D507" s="5" t="s">
        <v>93</v>
      </c>
      <c r="E507" s="5">
        <v>76</v>
      </c>
      <c r="F507" s="5">
        <v>1810572</v>
      </c>
      <c r="G507" s="5">
        <v>41001</v>
      </c>
      <c r="H507" s="5">
        <f t="shared" si="486"/>
        <v>4.1975685032133496</v>
      </c>
      <c r="I507" s="6">
        <v>1.74</v>
      </c>
      <c r="J507" s="5">
        <v>5.1000000000000005</v>
      </c>
      <c r="K507">
        <f t="shared" ref="K507" si="501">G507*$V$2/$R$12</f>
        <v>51219.451026853101</v>
      </c>
      <c r="L507" s="10">
        <v>702</v>
      </c>
      <c r="M507" s="8">
        <f t="shared" si="444"/>
        <v>38.772277490207514</v>
      </c>
      <c r="N507">
        <v>0.65063291139240509</v>
      </c>
      <c r="O507">
        <v>0.47420000000000001</v>
      </c>
      <c r="P507" s="14">
        <v>376.67558085876402</v>
      </c>
    </row>
    <row r="508" spans="1:16" x14ac:dyDescent="0.35">
      <c r="A508" s="5">
        <v>2008</v>
      </c>
      <c r="B508" s="5">
        <v>55</v>
      </c>
      <c r="C508" s="5" t="s">
        <v>46</v>
      </c>
      <c r="D508" s="5" t="s">
        <v>94</v>
      </c>
      <c r="E508" s="5">
        <v>146</v>
      </c>
      <c r="F508" s="5">
        <v>5640996</v>
      </c>
      <c r="G508" s="5">
        <v>38857</v>
      </c>
      <c r="H508" s="5">
        <f t="shared" si="486"/>
        <v>2.5881954179722872</v>
      </c>
      <c r="I508" s="6">
        <v>3.01</v>
      </c>
      <c r="J508" s="5">
        <v>4.9000000000000004</v>
      </c>
      <c r="K508">
        <f t="shared" ref="K508" si="502">G508*$V$2/$R$2</f>
        <v>56613.300664644717</v>
      </c>
      <c r="L508" s="10">
        <v>369</v>
      </c>
      <c r="M508" s="8">
        <f t="shared" si="444"/>
        <v>6.5413980084368077</v>
      </c>
      <c r="N508">
        <v>0.46298788694481829</v>
      </c>
      <c r="O508">
        <v>0.42599999999999999</v>
      </c>
      <c r="P508" s="14">
        <v>398.8</v>
      </c>
    </row>
    <row r="509" spans="1:16" x14ac:dyDescent="0.35">
      <c r="A509" s="5">
        <v>2009</v>
      </c>
      <c r="B509" s="5">
        <v>55</v>
      </c>
      <c r="C509" s="5" t="s">
        <v>46</v>
      </c>
      <c r="D509" s="5" t="s">
        <v>94</v>
      </c>
      <c r="E509" s="5">
        <v>146</v>
      </c>
      <c r="F509" s="5">
        <v>5669264</v>
      </c>
      <c r="G509" s="5">
        <v>38138</v>
      </c>
      <c r="H509" s="5">
        <f t="shared" si="486"/>
        <v>2.5752901963993913</v>
      </c>
      <c r="I509" s="6">
        <v>2.96</v>
      </c>
      <c r="J509" s="5">
        <v>9</v>
      </c>
      <c r="K509">
        <f t="shared" ref="K509" si="503">G509*$V$2/$R$3</f>
        <v>55764.138969035645</v>
      </c>
      <c r="L509" s="10">
        <v>397</v>
      </c>
      <c r="M509" s="8">
        <f t="shared" si="444"/>
        <v>7.0026726573325915</v>
      </c>
      <c r="N509">
        <v>0.47651933701657456</v>
      </c>
      <c r="O509">
        <v>0.432</v>
      </c>
      <c r="P509" s="14">
        <v>394.92</v>
      </c>
    </row>
    <row r="510" spans="1:16" x14ac:dyDescent="0.35">
      <c r="A510" s="5">
        <v>2010</v>
      </c>
      <c r="B510" s="5">
        <v>55</v>
      </c>
      <c r="C510" s="5" t="s">
        <v>46</v>
      </c>
      <c r="D510" s="5" t="s">
        <v>94</v>
      </c>
      <c r="E510" s="5">
        <v>155</v>
      </c>
      <c r="F510" s="5">
        <v>5692038</v>
      </c>
      <c r="G510" s="5">
        <v>39048</v>
      </c>
      <c r="H510" s="5">
        <f t="shared" si="486"/>
        <v>2.7231019891293768</v>
      </c>
      <c r="I510" s="6">
        <v>2.94</v>
      </c>
      <c r="J510" s="5">
        <v>8.5</v>
      </c>
      <c r="K510">
        <f t="shared" ref="K510" si="504">G510*$V$2/$R$4</f>
        <v>56173.313607513664</v>
      </c>
      <c r="L510" s="10">
        <v>415</v>
      </c>
      <c r="M510" s="8">
        <f t="shared" si="444"/>
        <v>7.2908859708947826</v>
      </c>
      <c r="N510">
        <v>0.47667087011349307</v>
      </c>
      <c r="O510">
        <v>0.43</v>
      </c>
      <c r="P510" s="14">
        <v>386.06</v>
      </c>
    </row>
    <row r="511" spans="1:16" x14ac:dyDescent="0.35">
      <c r="A511" s="5">
        <v>2011</v>
      </c>
      <c r="B511" s="5">
        <v>55</v>
      </c>
      <c r="C511" s="5" t="s">
        <v>46</v>
      </c>
      <c r="D511" s="5" t="s">
        <v>94</v>
      </c>
      <c r="E511" s="5">
        <v>138</v>
      </c>
      <c r="F511" s="5">
        <v>5713359</v>
      </c>
      <c r="G511" s="5">
        <v>41067</v>
      </c>
      <c r="H511" s="5">
        <f t="shared" si="486"/>
        <v>2.415391716151567</v>
      </c>
      <c r="I511" s="6">
        <v>2.98999999999999</v>
      </c>
      <c r="J511" s="5">
        <v>7.6000000000000005</v>
      </c>
      <c r="K511">
        <f t="shared" ref="K511" si="505">G511*$V$2/$R$5</f>
        <v>57270.042824943659</v>
      </c>
      <c r="L511" s="10">
        <v>473</v>
      </c>
      <c r="M511" s="8">
        <f t="shared" si="444"/>
        <v>8.2788426213021094</v>
      </c>
      <c r="N511">
        <v>0.47114093959731546</v>
      </c>
      <c r="O511">
        <v>0.437</v>
      </c>
      <c r="P511" s="14">
        <v>384.64114177465399</v>
      </c>
    </row>
    <row r="512" spans="1:16" x14ac:dyDescent="0.35">
      <c r="A512" s="5">
        <v>2012</v>
      </c>
      <c r="B512" s="5">
        <v>55</v>
      </c>
      <c r="C512" s="5" t="s">
        <v>46</v>
      </c>
      <c r="D512" s="5" t="s">
        <v>94</v>
      </c>
      <c r="E512" s="5">
        <v>169</v>
      </c>
      <c r="F512" s="5">
        <v>5734379</v>
      </c>
      <c r="G512" s="5">
        <v>42639</v>
      </c>
      <c r="H512" s="5">
        <f t="shared" si="486"/>
        <v>2.9471369088091315</v>
      </c>
      <c r="I512" s="6">
        <v>3.02</v>
      </c>
      <c r="J512" s="5">
        <v>6.9</v>
      </c>
      <c r="K512">
        <f t="shared" ref="K512" si="506">G512*$V$2/$R$6</f>
        <v>58256.68471737067</v>
      </c>
      <c r="L512" s="10">
        <v>483</v>
      </c>
      <c r="M512" s="8">
        <f t="shared" si="444"/>
        <v>8.4228824080166316</v>
      </c>
      <c r="N512">
        <v>0.48132780082987553</v>
      </c>
      <c r="O512">
        <v>0.44009999999999999</v>
      </c>
      <c r="P512" s="14">
        <v>356.87803361144699</v>
      </c>
    </row>
    <row r="513" spans="1:16" x14ac:dyDescent="0.35">
      <c r="A513" s="5">
        <v>2013</v>
      </c>
      <c r="B513" s="5">
        <v>55</v>
      </c>
      <c r="C513" s="5" t="s">
        <v>46</v>
      </c>
      <c r="D513" s="5" t="s">
        <v>94</v>
      </c>
      <c r="E513" s="5">
        <v>163</v>
      </c>
      <c r="F513" s="5">
        <v>5757584</v>
      </c>
      <c r="G513" s="5">
        <v>42685</v>
      </c>
      <c r="H513" s="5">
        <f t="shared" si="486"/>
        <v>2.8310485787094031</v>
      </c>
      <c r="I513" s="7">
        <v>3</v>
      </c>
      <c r="J513" s="5">
        <v>6.7</v>
      </c>
      <c r="K513">
        <f t="shared" ref="K513" si="507">G513*$V$2/$R$7</f>
        <v>57477.62447576163</v>
      </c>
      <c r="L513" s="10">
        <v>599</v>
      </c>
      <c r="M513" s="8">
        <f t="shared" si="444"/>
        <v>10.403669316852346</v>
      </c>
      <c r="N513">
        <v>0.51411764705882357</v>
      </c>
      <c r="O513">
        <v>0.4446</v>
      </c>
      <c r="P513" s="14">
        <v>370.08071706464199</v>
      </c>
    </row>
    <row r="514" spans="1:16" x14ac:dyDescent="0.35">
      <c r="A514" s="5">
        <v>2014</v>
      </c>
      <c r="B514" s="5">
        <v>55</v>
      </c>
      <c r="C514" s="5" t="s">
        <v>46</v>
      </c>
      <c r="D514" s="5" t="s">
        <v>94</v>
      </c>
      <c r="E514" s="5">
        <v>159</v>
      </c>
      <c r="F514" s="5">
        <v>5778789</v>
      </c>
      <c r="G514" s="5">
        <v>44156</v>
      </c>
      <c r="H514" s="5">
        <f t="shared" si="486"/>
        <v>2.751441521744435</v>
      </c>
      <c r="I514" s="6">
        <v>2.98</v>
      </c>
      <c r="J514" s="5">
        <v>5.3000000000000007</v>
      </c>
      <c r="K514">
        <f t="shared" ref="K514" si="508">G514*$V$2/$R$8</f>
        <v>58509.273976074619</v>
      </c>
      <c r="L514" s="10">
        <v>627</v>
      </c>
      <c r="M514" s="8">
        <f t="shared" si="444"/>
        <v>10.850024114048807</v>
      </c>
      <c r="N514">
        <v>0.4577373211963589</v>
      </c>
      <c r="O514">
        <v>0.43969999999999998</v>
      </c>
      <c r="P514" s="14">
        <v>371.11638167423001</v>
      </c>
    </row>
    <row r="515" spans="1:16" x14ac:dyDescent="0.35">
      <c r="A515" s="5">
        <v>2015</v>
      </c>
      <c r="B515" s="5">
        <v>55</v>
      </c>
      <c r="C515" s="5" t="s">
        <v>46</v>
      </c>
      <c r="D515" s="5" t="s">
        <v>94</v>
      </c>
      <c r="E515" s="5">
        <v>240</v>
      </c>
      <c r="F515" s="5">
        <v>5794536</v>
      </c>
      <c r="G515" s="5">
        <v>45928</v>
      </c>
      <c r="H515" s="5">
        <f t="shared" si="486"/>
        <v>4.1418329267434011</v>
      </c>
      <c r="I515" s="6">
        <v>2.98</v>
      </c>
      <c r="J515" s="5">
        <v>4.4000000000000004</v>
      </c>
      <c r="K515">
        <f t="shared" ref="K515" si="509">G515*$V$2/$R$9</f>
        <v>60785.126771497409</v>
      </c>
      <c r="L515" s="10">
        <v>622</v>
      </c>
      <c r="M515" s="8">
        <f t="shared" ref="M515:M529" si="510">L515/F515*100000</f>
        <v>10.734250335143313</v>
      </c>
      <c r="N515">
        <v>0.48346636259977194</v>
      </c>
      <c r="O515">
        <v>0.441</v>
      </c>
      <c r="P515" s="14">
        <v>376.91211936214302</v>
      </c>
    </row>
    <row r="516" spans="1:16" x14ac:dyDescent="0.35">
      <c r="A516" s="5">
        <v>2016</v>
      </c>
      <c r="B516" s="5">
        <v>55</v>
      </c>
      <c r="C516" s="5" t="s">
        <v>46</v>
      </c>
      <c r="D516" s="5" t="s">
        <v>94</v>
      </c>
      <c r="E516" s="5">
        <v>232</v>
      </c>
      <c r="F516" s="5">
        <v>5812814</v>
      </c>
      <c r="G516" s="5">
        <v>46595</v>
      </c>
      <c r="H516" s="5">
        <f t="shared" si="486"/>
        <v>3.9911822397895409</v>
      </c>
      <c r="I516" s="6">
        <v>2.98999999999999</v>
      </c>
      <c r="J516" s="5">
        <v>3.9000000000000004</v>
      </c>
      <c r="K516">
        <f t="shared" ref="K516" si="511">G516*$V$2/$R$10</f>
        <v>60899.636073114532</v>
      </c>
      <c r="L516" s="10">
        <v>866</v>
      </c>
      <c r="M516" s="8">
        <f t="shared" si="510"/>
        <v>14.898119912317854</v>
      </c>
      <c r="N516">
        <v>0.52540415704387988</v>
      </c>
      <c r="O516">
        <v>0.44979999999999998</v>
      </c>
      <c r="P516" s="14">
        <v>382.73807054659102</v>
      </c>
    </row>
    <row r="517" spans="1:16" x14ac:dyDescent="0.35">
      <c r="A517" s="5">
        <v>2017</v>
      </c>
      <c r="B517" s="5">
        <v>55</v>
      </c>
      <c r="C517" s="5" t="s">
        <v>46</v>
      </c>
      <c r="D517" s="5" t="s">
        <v>94</v>
      </c>
      <c r="E517" s="5">
        <v>192</v>
      </c>
      <c r="F517" s="5">
        <v>5836809</v>
      </c>
      <c r="G517" s="5">
        <v>48311</v>
      </c>
      <c r="H517" s="5">
        <f t="shared" si="486"/>
        <v>3.2894686120446979</v>
      </c>
      <c r="I517" s="6">
        <v>2.98999999999999</v>
      </c>
      <c r="J517" s="5">
        <v>3.3000000000000003</v>
      </c>
      <c r="K517">
        <f t="shared" ref="K517" si="512">G517*$V$2/$R$11</f>
        <v>61825.347907147523</v>
      </c>
      <c r="L517" s="10">
        <v>926</v>
      </c>
      <c r="M517" s="8">
        <f t="shared" si="510"/>
        <v>15.864832993507241</v>
      </c>
      <c r="N517">
        <v>0.46976241900647947</v>
      </c>
      <c r="O517">
        <v>0.44669999999999999</v>
      </c>
      <c r="P517" s="14">
        <v>390.82267984571803</v>
      </c>
    </row>
    <row r="518" spans="1:16" x14ac:dyDescent="0.35">
      <c r="A518" s="5">
        <v>2018</v>
      </c>
      <c r="B518" s="5">
        <v>55</v>
      </c>
      <c r="C518" s="5" t="s">
        <v>46</v>
      </c>
      <c r="D518" s="5" t="s">
        <v>94</v>
      </c>
      <c r="E518" s="5">
        <v>175</v>
      </c>
      <c r="F518" s="5">
        <v>5859000</v>
      </c>
      <c r="G518" s="5">
        <v>50520</v>
      </c>
      <c r="H518" s="5">
        <f t="shared" si="486"/>
        <v>2.9868578255675029</v>
      </c>
      <c r="I518" s="6">
        <v>2.9299999999999899</v>
      </c>
      <c r="J518" s="5">
        <v>3</v>
      </c>
      <c r="K518">
        <f t="shared" ref="K518" si="513">G518*$V$2/$R$12</f>
        <v>63110.81841605372</v>
      </c>
      <c r="L518" s="10">
        <v>846</v>
      </c>
      <c r="M518" s="8">
        <f t="shared" si="510"/>
        <v>14.439324116743473</v>
      </c>
      <c r="N518">
        <v>0.47297297297297297</v>
      </c>
      <c r="O518">
        <v>0.44829999999999998</v>
      </c>
      <c r="P518" s="14">
        <v>391.91473404422601</v>
      </c>
    </row>
    <row r="519" spans="1:16" x14ac:dyDescent="0.35">
      <c r="A519" s="5">
        <v>2008</v>
      </c>
      <c r="B519" s="5">
        <v>56</v>
      </c>
      <c r="C519" s="5" t="s">
        <v>47</v>
      </c>
      <c r="D519" s="5" t="s">
        <v>95</v>
      </c>
      <c r="E519" s="5">
        <v>12</v>
      </c>
      <c r="F519" s="5">
        <v>546043</v>
      </c>
      <c r="G519" s="5">
        <v>49451</v>
      </c>
      <c r="H519" s="5">
        <f t="shared" si="486"/>
        <v>2.1976291244462431</v>
      </c>
      <c r="I519" s="6">
        <v>2.8699999999999899</v>
      </c>
      <c r="J519" s="5">
        <v>2.9000000000000004</v>
      </c>
      <c r="K519">
        <f>G519*$V$2/$R$2</f>
        <v>72048.391053538508</v>
      </c>
      <c r="L519" s="10">
        <v>40</v>
      </c>
      <c r="M519" s="8">
        <f t="shared" si="510"/>
        <v>7.3254304148208114</v>
      </c>
      <c r="N519">
        <v>0.70161290322580649</v>
      </c>
      <c r="O519">
        <v>0.441</v>
      </c>
      <c r="P519" s="14">
        <v>391.01</v>
      </c>
    </row>
    <row r="520" spans="1:16" x14ac:dyDescent="0.35">
      <c r="A520" s="5">
        <v>2009</v>
      </c>
      <c r="B520" s="5">
        <v>56</v>
      </c>
      <c r="C520" s="5" t="s">
        <v>47</v>
      </c>
      <c r="D520" s="5" t="s">
        <v>95</v>
      </c>
      <c r="E520" s="5">
        <v>11</v>
      </c>
      <c r="F520" s="5">
        <v>559851</v>
      </c>
      <c r="G520" s="5">
        <v>44499</v>
      </c>
      <c r="H520" s="5">
        <f t="shared" si="486"/>
        <v>1.9648084936884991</v>
      </c>
      <c r="I520" s="6">
        <v>2.73</v>
      </c>
      <c r="J520" s="5">
        <v>6.3000000000000007</v>
      </c>
      <c r="K520">
        <f t="shared" ref="K520" si="514">G520*$V$2/$R$3</f>
        <v>65064.985578245243</v>
      </c>
      <c r="L520" s="10">
        <v>32</v>
      </c>
      <c r="M520" s="8">
        <f t="shared" si="510"/>
        <v>5.7158065270938163</v>
      </c>
      <c r="N520">
        <v>0.73873873873873874</v>
      </c>
      <c r="O520">
        <v>0.41499999999999998</v>
      </c>
      <c r="P520" s="14">
        <v>381.24</v>
      </c>
    </row>
    <row r="521" spans="1:16" x14ac:dyDescent="0.35">
      <c r="A521" s="5">
        <v>2010</v>
      </c>
      <c r="B521" s="5">
        <v>56</v>
      </c>
      <c r="C521" s="5" t="s">
        <v>47</v>
      </c>
      <c r="D521" s="5" t="s">
        <v>95</v>
      </c>
      <c r="E521" s="5">
        <v>8</v>
      </c>
      <c r="F521" s="5">
        <v>564402</v>
      </c>
      <c r="G521" s="5">
        <v>46395</v>
      </c>
      <c r="H521" s="5">
        <f t="shared" si="486"/>
        <v>1.4174294208737743</v>
      </c>
      <c r="I521" s="6">
        <v>2.66</v>
      </c>
      <c r="J521" s="5">
        <v>6.9</v>
      </c>
      <c r="K521">
        <f t="shared" ref="K521" si="515">G521*$V$2/$R$4</f>
        <v>66742.493464981468</v>
      </c>
      <c r="L521" s="10">
        <v>47</v>
      </c>
      <c r="M521" s="8">
        <f t="shared" si="510"/>
        <v>8.3273978476334243</v>
      </c>
      <c r="N521">
        <v>0.63358778625954193</v>
      </c>
      <c r="O521">
        <v>0.42299999999999999</v>
      </c>
      <c r="P521" s="14">
        <v>374.1</v>
      </c>
    </row>
    <row r="522" spans="1:16" x14ac:dyDescent="0.35">
      <c r="A522" s="5">
        <v>2011</v>
      </c>
      <c r="B522" s="5">
        <v>56</v>
      </c>
      <c r="C522" s="5" t="s">
        <v>47</v>
      </c>
      <c r="D522" s="5" t="s">
        <v>95</v>
      </c>
      <c r="E522" s="5">
        <v>18</v>
      </c>
      <c r="F522" s="5">
        <v>566844</v>
      </c>
      <c r="G522" s="5">
        <v>50631</v>
      </c>
      <c r="H522" s="5">
        <f t="shared" si="486"/>
        <v>3.1754768507737579</v>
      </c>
      <c r="I522" s="6">
        <v>2.66</v>
      </c>
      <c r="J522" s="5">
        <v>6.2</v>
      </c>
      <c r="K522">
        <f t="shared" ref="K522" si="516">G522*$V$2/$R$5</f>
        <v>70607.532526596115</v>
      </c>
      <c r="L522" s="10">
        <v>43</v>
      </c>
      <c r="M522" s="8">
        <f t="shared" si="510"/>
        <v>7.5858613657373102</v>
      </c>
      <c r="N522">
        <v>0.63636363636363635</v>
      </c>
      <c r="O522">
        <v>0.40810000000000002</v>
      </c>
      <c r="P522" s="14">
        <v>381.65269779330202</v>
      </c>
    </row>
    <row r="523" spans="1:16" x14ac:dyDescent="0.35">
      <c r="A523" s="5">
        <v>2012</v>
      </c>
      <c r="B523" s="5">
        <v>56</v>
      </c>
      <c r="C523" s="5" t="s">
        <v>47</v>
      </c>
      <c r="D523" s="5" t="s">
        <v>95</v>
      </c>
      <c r="E523" s="5">
        <v>14</v>
      </c>
      <c r="F523" s="5">
        <v>575491</v>
      </c>
      <c r="G523" s="5">
        <v>53597</v>
      </c>
      <c r="H523" s="5">
        <f t="shared" si="486"/>
        <v>2.4327052899176529</v>
      </c>
      <c r="I523" s="6">
        <v>2.73</v>
      </c>
      <c r="J523" s="5">
        <v>5.5</v>
      </c>
      <c r="K523">
        <f t="shared" ref="K523" si="517">G523*$V$2/$R$6</f>
        <v>73228.348009965426</v>
      </c>
      <c r="L523" s="10">
        <v>45</v>
      </c>
      <c r="M523" s="8">
        <f t="shared" si="510"/>
        <v>7.819409860449599</v>
      </c>
      <c r="N523">
        <v>0.59649122807017541</v>
      </c>
      <c r="O523">
        <v>0.41660000000000003</v>
      </c>
      <c r="P523" s="14">
        <v>379.49357237066403</v>
      </c>
    </row>
    <row r="524" spans="1:16" x14ac:dyDescent="0.35">
      <c r="A524" s="5">
        <v>2013</v>
      </c>
      <c r="B524" s="5">
        <v>56</v>
      </c>
      <c r="C524" s="5" t="s">
        <v>47</v>
      </c>
      <c r="D524" s="5" t="s">
        <v>95</v>
      </c>
      <c r="E524" s="5">
        <v>17</v>
      </c>
      <c r="F524" s="5">
        <v>580937</v>
      </c>
      <c r="G524" s="5">
        <v>52835</v>
      </c>
      <c r="H524" s="5">
        <f t="shared" si="486"/>
        <v>2.9263069833734123</v>
      </c>
      <c r="I524" s="6">
        <v>2.67</v>
      </c>
      <c r="J524" s="5">
        <v>4.8000000000000007</v>
      </c>
      <c r="K524">
        <f t="shared" ref="K524" si="518">G524*$V$2/$R$7</f>
        <v>71145.139725357047</v>
      </c>
      <c r="L524" s="10">
        <v>48</v>
      </c>
      <c r="M524" s="8">
        <f t="shared" si="510"/>
        <v>8.2625138354072813</v>
      </c>
      <c r="N524">
        <v>0.68992248062015504</v>
      </c>
      <c r="O524">
        <v>0.41830000000000001</v>
      </c>
      <c r="P524" s="14">
        <v>395.68751991284603</v>
      </c>
    </row>
    <row r="525" spans="1:16" x14ac:dyDescent="0.35">
      <c r="A525" s="5">
        <v>2014</v>
      </c>
      <c r="B525" s="5">
        <v>56</v>
      </c>
      <c r="C525" s="5" t="s">
        <v>47</v>
      </c>
      <c r="D525" s="5" t="s">
        <v>95</v>
      </c>
      <c r="E525" s="5">
        <v>16</v>
      </c>
      <c r="F525" s="5">
        <v>580959</v>
      </c>
      <c r="G525" s="5">
        <v>56251</v>
      </c>
      <c r="H525" s="5">
        <f t="shared" si="486"/>
        <v>2.7540669823515946</v>
      </c>
      <c r="I525" s="6">
        <v>2.73</v>
      </c>
      <c r="J525" s="5">
        <v>4.3</v>
      </c>
      <c r="K525">
        <f t="shared" ref="K525" si="519">G525*$V$2/$R$8</f>
        <v>74535.854027270907</v>
      </c>
      <c r="L525" s="10">
        <v>54</v>
      </c>
      <c r="M525" s="8">
        <f t="shared" si="510"/>
        <v>9.2949760654366305</v>
      </c>
      <c r="N525">
        <v>0.65</v>
      </c>
      <c r="O525">
        <v>0.42699999999999999</v>
      </c>
      <c r="P525" s="14">
        <v>407.09364520499003</v>
      </c>
    </row>
    <row r="526" spans="1:16" x14ac:dyDescent="0.35">
      <c r="A526" s="5">
        <v>2015</v>
      </c>
      <c r="B526" s="5">
        <v>56</v>
      </c>
      <c r="C526" s="5" t="s">
        <v>47</v>
      </c>
      <c r="D526" s="5" t="s">
        <v>95</v>
      </c>
      <c r="E526" s="5">
        <v>16</v>
      </c>
      <c r="F526" s="5">
        <v>583671</v>
      </c>
      <c r="G526" s="5">
        <v>56120</v>
      </c>
      <c r="H526" s="5">
        <f t="shared" si="486"/>
        <v>2.7412703389409447</v>
      </c>
      <c r="I526" s="6">
        <v>2.74</v>
      </c>
      <c r="J526" s="5">
        <v>4.2</v>
      </c>
      <c r="K526">
        <f t="shared" ref="K526" si="520">G526*$V$2/$R$9</f>
        <v>74274.109789593145</v>
      </c>
      <c r="L526" s="10">
        <v>46</v>
      </c>
      <c r="M526" s="8">
        <f t="shared" si="510"/>
        <v>7.8811522244552155</v>
      </c>
      <c r="N526">
        <v>0.60509554140127386</v>
      </c>
      <c r="O526">
        <v>0.43740000000000001</v>
      </c>
      <c r="P526" s="14">
        <v>413.59188513611502</v>
      </c>
    </row>
    <row r="527" spans="1:16" x14ac:dyDescent="0.35">
      <c r="A527" s="5">
        <v>2016</v>
      </c>
      <c r="B527" s="5">
        <v>56</v>
      </c>
      <c r="C527" s="5" t="s">
        <v>47</v>
      </c>
      <c r="D527" s="5" t="s">
        <v>95</v>
      </c>
      <c r="E527" s="5">
        <v>20</v>
      </c>
      <c r="F527" s="5">
        <v>582007</v>
      </c>
      <c r="G527" s="5">
        <v>53419</v>
      </c>
      <c r="H527" s="5">
        <f t="shared" si="486"/>
        <v>3.4363847857499996</v>
      </c>
      <c r="I527" s="6">
        <v>2.68</v>
      </c>
      <c r="J527" s="5">
        <v>5.4</v>
      </c>
      <c r="K527">
        <f t="shared" ref="K527" si="521">G527*$V$2/$R$10</f>
        <v>69818.599836671434</v>
      </c>
      <c r="L527" s="10">
        <v>50</v>
      </c>
      <c r="M527" s="8">
        <f t="shared" si="510"/>
        <v>8.5909619643749995</v>
      </c>
      <c r="N527">
        <v>0.60416666666666663</v>
      </c>
      <c r="O527">
        <v>0.436</v>
      </c>
      <c r="P527" s="14">
        <v>407.72933916589</v>
      </c>
    </row>
    <row r="528" spans="1:16" x14ac:dyDescent="0.35">
      <c r="A528" s="5">
        <v>2017</v>
      </c>
      <c r="B528" s="5">
        <v>56</v>
      </c>
      <c r="C528" s="5" t="s">
        <v>47</v>
      </c>
      <c r="D528" s="5" t="s">
        <v>95</v>
      </c>
      <c r="E528" s="5">
        <v>14</v>
      </c>
      <c r="F528" s="5">
        <v>576240</v>
      </c>
      <c r="G528" s="5">
        <v>56378</v>
      </c>
      <c r="H528" s="5">
        <f t="shared" si="486"/>
        <v>2.4295432458697768</v>
      </c>
      <c r="I528" s="6">
        <v>2.68</v>
      </c>
      <c r="J528" s="5">
        <v>4.3</v>
      </c>
      <c r="K528">
        <f t="shared" ref="K528" si="522">G528*$V$2/$R$11</f>
        <v>72148.981894582248</v>
      </c>
      <c r="L528" s="10">
        <v>47</v>
      </c>
      <c r="M528" s="8">
        <f t="shared" si="510"/>
        <v>8.1563237539913924</v>
      </c>
      <c r="N528">
        <v>0.63057324840764328</v>
      </c>
      <c r="O528">
        <v>0.43259999999999998</v>
      </c>
      <c r="P528" s="14">
        <v>427.55360844526399</v>
      </c>
    </row>
    <row r="529" spans="1:16" x14ac:dyDescent="0.35">
      <c r="A529" s="5">
        <v>2018</v>
      </c>
      <c r="B529" s="5">
        <v>56</v>
      </c>
      <c r="C529" s="5" t="s">
        <v>47</v>
      </c>
      <c r="D529" s="5" t="s">
        <v>95</v>
      </c>
      <c r="E529" s="5">
        <v>14</v>
      </c>
      <c r="F529" s="5">
        <v>574783</v>
      </c>
      <c r="G529" s="5">
        <v>59197</v>
      </c>
      <c r="H529" s="5">
        <f t="shared" si="486"/>
        <v>2.4357018213830264</v>
      </c>
      <c r="I529" s="6">
        <v>2.78</v>
      </c>
      <c r="J529" s="5">
        <v>4.1000000000000005</v>
      </c>
      <c r="K529">
        <f t="shared" ref="K529" si="523">G529*$V$2/$R$12</f>
        <v>73950.338831653455</v>
      </c>
      <c r="L529" s="10">
        <v>40</v>
      </c>
      <c r="M529" s="8">
        <f t="shared" si="510"/>
        <v>6.9591480610943615</v>
      </c>
      <c r="N529">
        <v>0.73469387755102045</v>
      </c>
      <c r="O529">
        <v>0.45550000000000002</v>
      </c>
      <c r="P529" s="14">
        <v>439.752369094556</v>
      </c>
    </row>
    <row r="537" spans="1:16" x14ac:dyDescent="0.35">
      <c r="J537" s="15"/>
      <c r="K537" s="15"/>
    </row>
    <row r="540" spans="1:16" x14ac:dyDescent="0.35">
      <c r="K540" s="13"/>
    </row>
  </sheetData>
  <autoFilter ref="D1:D529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A4C6B7-CEEB-4A98-84C8-2E8441ADF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Толпышкин Ярослав</cp:lastModifiedBy>
  <dcterms:created xsi:type="dcterms:W3CDTF">2025-11-15T10:49:50Z</dcterms:created>
  <dcterms:modified xsi:type="dcterms:W3CDTF">2026-02-15T11:17:53Z</dcterms:modified>
</cp:coreProperties>
</file>